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ashboard" sheetId="1" r:id="rId4"/>
    <sheet state="visible" name="2. Income Register" sheetId="2" r:id="rId5"/>
    <sheet state="visible" name="3. Expense Register" sheetId="3" r:id="rId6"/>
    <sheet state="visible" name="4. Category Summary" sheetId="4" r:id="rId7"/>
    <sheet state="visible" name="5. Vehicle Logbook" sheetId="5" r:id="rId8"/>
    <sheet state="visible" name="6. Asset Register" sheetId="6" r:id="rId9"/>
    <sheet state="visible" name="7. Trips &amp; Travel" sheetId="7" r:id="rId10"/>
    <sheet state="visible" name="8. Missing Receipts" sheetId="8" r:id="rId11"/>
    <sheet state="visible" name="9. Tax Computation" sheetId="9" r:id="rId12"/>
    <sheet state="visible" name="10. SARS Checklist" sheetId="10" r:id="rId13"/>
  </sheets>
  <definedNames/>
  <calcPr/>
  <extLst>
    <ext uri="GoogleSheetsCustomDataVersion2">
      <go:sheetsCustomData xmlns:go="http://customooxmlschemas.google.com/" r:id="rId14" roundtripDataChecksum="ksoRllSfUPt5W0+50OTtClhI3ZA7ki6AuGdEbuIBUgc="/>
    </ext>
  </extLst>
</workbook>
</file>

<file path=xl/sharedStrings.xml><?xml version="1.0" encoding="utf-8"?>
<sst xmlns="http://schemas.openxmlformats.org/spreadsheetml/2006/main" count="1898" uniqueCount="596">
  <si>
    <t>SARS TAX YEAR 2025/2026 — TRACKING WORKBOOK</t>
  </si>
  <si>
    <t>The Process Enterprise (Pty) Ltd  |  Tax period: 1 March 2025 – 28 February 2026</t>
  </si>
  <si>
    <t>Account: ABSA Cheque 40-9656-3878  |  Built from 12 monthly statements</t>
  </si>
  <si>
    <t>WORKBOOK GUIDE</t>
  </si>
  <si>
    <t>Sheet</t>
  </si>
  <si>
    <t>Purpose</t>
  </si>
  <si>
    <t>1. Dashboard</t>
  </si>
  <si>
    <t>This page — high-level summary and tax savings calculation</t>
  </si>
  <si>
    <t>2. Income Register</t>
  </si>
  <si>
    <t>All business income/revenue for the tax year</t>
  </si>
  <si>
    <t>3. Expense Register</t>
  </si>
  <si>
    <t>Every expense transaction, tagged by category and deductibility</t>
  </si>
  <si>
    <t>4. Category Summary</t>
  </si>
  <si>
    <t>Pivot of expenses by category — your tax deduction worksheet</t>
  </si>
  <si>
    <t>5. Vehicle Logbook</t>
  </si>
  <si>
    <t>SARS-compliant vehicle logbook for Audi A4 (REQUIRED — fill in)</t>
  </si>
  <si>
    <t>6. Asset Register</t>
  </si>
  <si>
    <t>Capital assets + wear-and-tear (depreciation) calculation</t>
  </si>
  <si>
    <t>7. Trips &amp; Travel</t>
  </si>
  <si>
    <t>Business trip register (entertainment, accommodation, flights)</t>
  </si>
  <si>
    <t>8. Missing Receipts</t>
  </si>
  <si>
    <t>Items needing receipt reconstruction (you noted some are missing)</t>
  </si>
  <si>
    <t>9. Tax Computation</t>
  </si>
  <si>
    <t>Final taxable income calculation and CIT (Corporate Tax) liability</t>
  </si>
  <si>
    <t>10. SARS Checklist</t>
  </si>
  <si>
    <t>What to file, when, and what supporting docs are needed</t>
  </si>
  <si>
    <t>TAX YEAR AT A GLANCE</t>
  </si>
  <si>
    <t>Item</t>
  </si>
  <si>
    <t>Amount</t>
  </si>
  <si>
    <t>Source</t>
  </si>
  <si>
    <t>Total Business Income</t>
  </si>
  <si>
    <t>From Income Register</t>
  </si>
  <si>
    <t>Total Operating Expenses (deductible)</t>
  </si>
  <si>
    <t>Sum of deductible expenses</t>
  </si>
  <si>
    <t>Wear-and-Tear (Depreciation)</t>
  </si>
  <si>
    <t>From Asset Register</t>
  </si>
  <si>
    <t>Net Taxable Income (before tax)</t>
  </si>
  <si>
    <t>Income - Expenses - Depreciation</t>
  </si>
  <si>
    <t>Corporate Income Tax (27%)</t>
  </si>
  <si>
    <t>SARS CIT rate FY 2025/26</t>
  </si>
  <si>
    <t>YOUR ESTIMATED TAX SAVINGS (vs no deductions)</t>
  </si>
  <si>
    <t>Tax saved by claiming deductions</t>
  </si>
  <si>
    <t>⚠ IMPORTANT NOTES</t>
  </si>
  <si>
    <t>1. This workbook reads transactions from your ABSA Cheque account. Cash purchases or other accounts must be added manually to '3. Expense Register'.</t>
  </si>
  <si>
    <t>2. Vehicle deductions REQUIRE a logbook (sheet 5). Without one, SARS may disallow ALL vehicle expenses.</t>
  </si>
  <si>
    <t>3. Entertainment (client meals, dinners) is FULLY deductible for a Pty Ltd if it has a clear business purpose — but you must keep records of who you met and why.</t>
  </si>
  <si>
    <t>4. Items marked 'Personal — Clothing' are NOT deductible unless they're protective gear or branded uniform.</t>
  </si>
  <si>
    <t>5. Capital assets (laptops, iPhones, camera, vehicle) are NOT expensed — they are depreciated under the wear-and-tear allowance (s11(e)).</t>
  </si>
  <si>
    <t>6. CIPC annual return + tax return (ITR14) due 12 months after year-end. First provisional tax was due 31 Aug 2025; second by 28 Feb 2026; top-up by 30 Sep 2026.</t>
  </si>
  <si>
    <t>7. Keep ALL supporting docs (invoices, receipts, contracts) for 5 years per SARS rules.</t>
  </si>
  <si>
    <t>8. For missing receipts: an affidavit + bank statement evidence may be accepted, but VAT input cannot be claimed without a proper tax invoice.</t>
  </si>
  <si>
    <t>INCOME REGISTER — Tax Year 2025/2026</t>
  </si>
  <si>
    <t>TOTAL INCOME (excl. internal transfers):</t>
  </si>
  <si>
    <t>Date</t>
  </si>
  <si>
    <t>Source / Customer</t>
  </si>
  <si>
    <t>Description</t>
  </si>
  <si>
    <t>Amount (R)</t>
  </si>
  <si>
    <t>Income Type</t>
  </si>
  <si>
    <t>Notes</t>
  </si>
  <si>
    <t>Platform Development</t>
  </si>
  <si>
    <t>Immediate Trf Cr Rand | Firstrand Nodods Platform Dev 05vl56h6cn</t>
  </si>
  <si>
    <t>From bank statement</t>
  </si>
  <si>
    <t>AdSense / Google Revenue</t>
  </si>
  <si>
    <t>Acb Credit Settlement | Google Iregoogle Ireland</t>
  </si>
  <si>
    <t>Recruitment Services</t>
  </si>
  <si>
    <t>Immediate Trf Cr Ecbus | Capitecbussd Recruitment Ugngk7wv4b</t>
  </si>
  <si>
    <t>Acb Credit Settlement | Nodods Platform Dev</t>
  </si>
  <si>
    <t>Immediate Trf Cr Ecbus | Capitecbussd Recruitment 28n166km2j</t>
  </si>
  <si>
    <t>Acb Credit Settlement | Nodods Holdings Stp</t>
  </si>
  <si>
    <t>Other Receipts</t>
  </si>
  <si>
    <t>Immediate Trf Cr Ecbus | Capitecbussdr Apr 2025 28wo0a8e9b</t>
  </si>
  <si>
    <t>Immediate Trf Cr Nk | Nedbank Sd Recruitment 2142862345</t>
  </si>
  <si>
    <t>Immediate Trf Cr Nk | Nedbank Sd Recruitment 0024668057</t>
  </si>
  <si>
    <t>Immediate Trf Cr Nk | Nedbank Sd Recruitment 0057463606</t>
  </si>
  <si>
    <t>Acb Credit Settlement</t>
  </si>
  <si>
    <t>Acb Credit Settlement | Nodods Holdings</t>
  </si>
  <si>
    <t>Immediate Trf Cr Nk | Nedbank Sd Recruitment 0109747035</t>
  </si>
  <si>
    <t>Immediate Trf Cr Nk | Nedbank Sd Recruitment 0148593735</t>
  </si>
  <si>
    <t>Acb Credit Settlement | Sd Recruitment</t>
  </si>
  <si>
    <t>Digital Payment Cr Settlement | Absa Bank Greencrate</t>
  </si>
  <si>
    <t>TOTAL INCOME</t>
  </si>
  <si>
    <t>EXPENSE REGISTER — Tax Year 2025/2026</t>
  </si>
  <si>
    <t>All expenses from ABSA Cheque 40-9656-3878. Use 'Deductible %' column to flag personal portions.</t>
  </si>
  <si>
    <t>Category</t>
  </si>
  <si>
    <t>Subcategory</t>
  </si>
  <si>
    <t>Charge (R)</t>
  </si>
  <si>
    <t>Deductible %</t>
  </si>
  <si>
    <t>Deductible (R)</t>
  </si>
  <si>
    <t>Receipt? (Y/N/Affidavit)</t>
  </si>
  <si>
    <t>Monthly Acc Fee Headoffice * | YOUR PRICING PLAN : BUSINESS ESSENTIALS LITE PACK | CREDIT INTEREST RATE AS AT 03/02/2025 STANDARD - REFER TO</t>
  </si>
  <si>
    <t>Bank Charges</t>
  </si>
  <si>
    <t>Bank Fees</t>
  </si>
  <si>
    <t>Bank statement only</t>
  </si>
  <si>
    <t>Payshap Ext Debit Settlement | Loan</t>
  </si>
  <si>
    <t>Loan Repayment</t>
  </si>
  <si>
    <t>Proof Of Pmt Email Settlement</t>
  </si>
  <si>
    <t>Proof Of Paymt Sms Settlement</t>
  </si>
  <si>
    <t>Digital Payment Dt Settlement | Absa Bank Loan</t>
  </si>
  <si>
    <t>Digital Payment Dt Settlement | Absa Bank Domain Renewal</t>
  </si>
  <si>
    <t>Software/SaaS</t>
  </si>
  <si>
    <t>Domain Renewal</t>
  </si>
  <si>
    <t>Monthly Acc Fee Headoffice *</t>
  </si>
  <si>
    <t>Admin Charge Headoffice * | See Charge Statement Detail</t>
  </si>
  <si>
    <t>Payshap Ext Debit Settlement | Dinner Da</t>
  </si>
  <si>
    <t>Entertainment - Business</t>
  </si>
  <si>
    <t>Business Dinner</t>
  </si>
  <si>
    <t>Payshap Ext Debit Settlement | Dinner With Da</t>
  </si>
  <si>
    <t>Payshap Ext Debit Settlement</t>
  </si>
  <si>
    <t>Other - Review</t>
  </si>
  <si>
    <t>PayShap (review)</t>
  </si>
  <si>
    <t>Payshap Ext Debit Settlement | Travel+tire</t>
  </si>
  <si>
    <t>Vehicle - Maintenance</t>
  </si>
  <si>
    <t>Audi A4 Repairs/Service</t>
  </si>
  <si>
    <t>Payshap Ext Debit Settlement | Meeting With Da</t>
  </si>
  <si>
    <t>Client Meeting</t>
  </si>
  <si>
    <t>Payshap Ext Debit Settlement | Lunch With Da</t>
  </si>
  <si>
    <t>Digital Transf Dt Settlement | 9397345518 Absa Bank The Process E | Absa Bank The Process E</t>
  </si>
  <si>
    <t>Transfer Out</t>
  </si>
  <si>
    <t>To Own Savings/Investment</t>
  </si>
  <si>
    <t>Payshap Ext Debit Settlement | Dinner</t>
  </si>
  <si>
    <t>Digital Payment Dt Settlement | THE PROCESS ENTERPRISE (PTY) LTD | 1 DA GAMA STREET</t>
  </si>
  <si>
    <t>Digital Payment (review)</t>
  </si>
  <si>
    <t>Digital Payment Dt Settlement | Absa Bank Rhythmstarr</t>
  </si>
  <si>
    <t>Admin Charge Headoffice * | See Charge Statement Detail | YOUR PRICING PLAN : BUSINESS ESSENTIALS LITE PACK</t>
  </si>
  <si>
    <t>Digital Payment Dt Settlement | Absa Bank Cipc</t>
  </si>
  <si>
    <t>Compliance</t>
  </si>
  <si>
    <t>CIPC Annual Returns</t>
  </si>
  <si>
    <t>Digital Payment Dt Settlement | Absa Bank Transport</t>
  </si>
  <si>
    <t>Travel - Local</t>
  </si>
  <si>
    <t>Transport (general)</t>
  </si>
  <si>
    <t>Digital Payment Dt Settlement | Absa Bank Attorney Fees</t>
  </si>
  <si>
    <t>Professional Fees</t>
  </si>
  <si>
    <t>Legal Fees</t>
  </si>
  <si>
    <t>Imdte Digital Pmt Settlement | Absa Bank Salary 16191440b5</t>
  </si>
  <si>
    <t>Director Remuneration</t>
  </si>
  <si>
    <t>Director/Staff Salary</t>
  </si>
  <si>
    <t>Digital Payment Dt Settlement | Absa Bank Youtube</t>
  </si>
  <si>
    <t>YouTube Subscription</t>
  </si>
  <si>
    <t>Digital Payment Dt Settlement | Absa Bank Transport X3</t>
  </si>
  <si>
    <t>Digital Transf Dt Settlement | 9397345518 Absa Bank Investment | Absa Bank Investment</t>
  </si>
  <si>
    <t>Archive Stmt Enq Settlement</t>
  </si>
  <si>
    <t>Uncategorized</t>
  </si>
  <si>
    <t>Monthly Acc Fee Headoffice * | YOUR PRICING PLAN : BUSINESS ESSENTIALS LITE PACK | CREDIT INTEREST RATE AS AT 03/06/2025 STANDARD - REFER TO</t>
  </si>
  <si>
    <t>Digital Payment Dt Settlement | Absa Bank Speaker Monitor</t>
  </si>
  <si>
    <t>Equipment - Office</t>
  </si>
  <si>
    <t>Office Equipment (small)</t>
  </si>
  <si>
    <t>Pos Purchase Settlement | Card No. 7884 Kfc Shel10000000107387 Centu | (Effective 08/07/2025)</t>
  </si>
  <si>
    <t>Meals - Business</t>
  </si>
  <si>
    <t>Restaurant/Meals</t>
  </si>
  <si>
    <t>Pos Purchase Settlement | Card No. 7884 Shell Canal Walk Milne | (Effective 08/07/2025)</t>
  </si>
  <si>
    <t>Vehicle - Fuel</t>
  </si>
  <si>
    <t>Fuel (Audi A4 Business)</t>
  </si>
  <si>
    <t>Pos Purchase Settlement | Card No. 7884 Shell Canal Walk Milne | (Effective 21/07/2025)</t>
  </si>
  <si>
    <t>Pos Purchase Settlement | Card No. 7884 Shell Canal Walk Milne | (Effective 23/07/2025)</t>
  </si>
  <si>
    <t>Pos Purchase Settlement</t>
  </si>
  <si>
    <t>POS Purchase (review)</t>
  </si>
  <si>
    <t>Pos Purchase Settlement | Card No. 7884 Incredible Connection Cape | (Effective 28/07/2025)</t>
  </si>
  <si>
    <t>Pos Purchase Settlement | Card No. 7884 Shell Canal Walk Milne | (Effective 30/07/2025)</t>
  </si>
  <si>
    <t>Overseas Purchase Settlement | Card No. 7884 Claude.Ai Subscription Anthr | (Effective 30/07/2025)</t>
  </si>
  <si>
    <t>Anthropic Claude.AI Subscription</t>
  </si>
  <si>
    <t>Monthly Acc Fee Headoffice * | YOUR PRICING PLAN : BUSINESS ESSENTIALS LITE PACK | CREDIT INTEREST RATE AS AT 03/07/2025 STANDARD - REFER TO</t>
  </si>
  <si>
    <t>Pos Purchase Settlement | Card No. 7884 Shell Canal Walk Milne | (Effective 01/08/2025)</t>
  </si>
  <si>
    <t>Digital Payment Dt Settlement | Absa Bank Transport X1</t>
  </si>
  <si>
    <t>Pos Purchase Settlement | Card No. 7884 Shell Canal Walk Milne | (Effective 07/08/2025)</t>
  </si>
  <si>
    <t>Digital Transf Dt Settlement | 9397345518 Absa Bank Savings | Absa Bank Savings</t>
  </si>
  <si>
    <t>Pos Purchase Settlement | Card No. 7884 Ok Mm Brooklyn - Arch Maitl | (Effective 12/08/2025)</t>
  </si>
  <si>
    <t>Office - Refreshments</t>
  </si>
  <si>
    <t>Office Supplies/Refreshments</t>
  </si>
  <si>
    <t>Pos Purchase Settlement | Card No. 7884 Yoco *Goods Buyers A Cape | (Effective 26/08/2025)</t>
  </si>
  <si>
    <t>Yoco Payment (review)</t>
  </si>
  <si>
    <t>Pos Purchase Settlement | Card No. 7884 Caffe Villagio Milne | (Effective 26/08/2025)</t>
  </si>
  <si>
    <t>Pos Purchase Settlement | Card No. 7884 Shell Canal Walk Milne | (Effective 28/08/2025)</t>
  </si>
  <si>
    <t>Pos Purchase Settlement | Card No. 7884 Shell Canal Walk Milne | (Effective 29/08/2025)</t>
  </si>
  <si>
    <t>Transaction Charge Headoffice *</t>
  </si>
  <si>
    <t>Digital Payment Dt Settlement | Absa Bank G Suite</t>
  </si>
  <si>
    <t>Google Workspace</t>
  </si>
  <si>
    <t>Overseas Purchase Settlement | Card No. 7884 Claude.Ai Subscription Anthr | (Effective 30/08/2025)</t>
  </si>
  <si>
    <t>Pos Purchase Settlement | Card No. 7884 Shell Canal Walk Milne | (Effective 09/09/2025)</t>
  </si>
  <si>
    <t>Pos Purchase Settlement | Card No. 7884 Uber Cape | (Effective 09/09/2025)</t>
  </si>
  <si>
    <t>Uber (Business Travel)</t>
  </si>
  <si>
    <t>Pos Purchase Settlement | Card No. 7884 Caltex R N T Motors Maitl | (Effective 10/09/2025)</t>
  </si>
  <si>
    <t>Pos Purchase Settlement | Card No. 7884 Mcd Waterfront (395). Cape | (Effective 10/09/2025)</t>
  </si>
  <si>
    <t>Pos Purchase Settlement | Card No. 7884 V A Waterfront Water | (Effective 10/09/2025)</t>
  </si>
  <si>
    <t>Water/Parking</t>
  </si>
  <si>
    <t>Pos Purchase Settlement | Card No. 7884 Uber Cpt | (Effective 15/09/2025)</t>
  </si>
  <si>
    <t>Imdte Digital Pmt Settlement | Absa Bank Audi A4 1619985609</t>
  </si>
  <si>
    <t>Imdte Digital Pmt Settlement | Absa Bank Audi A4 1619985588</t>
  </si>
  <si>
    <t>Imdte Digital Pmt Settlement | Absa Bank Audi A4 16199855c2</t>
  </si>
  <si>
    <t>Imdte Digital Pmt Settlement | Absa Bank Audi A4 16199855e0</t>
  </si>
  <si>
    <t>Payshap Ext Debit Settlement | Audi A4 Check</t>
  </si>
  <si>
    <t>Payshap Ext Debit Settlement | Audi A4 Electrical</t>
  </si>
  <si>
    <t>Digital Payment Dt Settlement | Absa Bank Rhythmstar</t>
  </si>
  <si>
    <t>Payshap Ext Debit Settlement | Reimburse Audi Trans</t>
  </si>
  <si>
    <t>Pos Purchase Settlement | Card No. 7884 Ae Parow Industrial Belha | (Effective 27/09/2025)</t>
  </si>
  <si>
    <t>Auto parts/service</t>
  </si>
  <si>
    <t>Pos Purchase Settlement | Card No. 7884 Ae Killarney Fc Milne | (Effective 27/09/2025)</t>
  </si>
  <si>
    <t>Pos Purchase Settlement | Card No. 7884 Ae Bellville Fc Bellv | (Effective 28/09/2025)</t>
  </si>
  <si>
    <t>Pos Purchase Settlement | Card No. 7884 Auto World Midas Sigbotha | (Effective 28/09/2025)</t>
  </si>
  <si>
    <t>Pos Purchase Settlement | Card No. 7884 Kekkel En Kraai Brooklyn Maitl | (Effective 29/09/2025)</t>
  </si>
  <si>
    <t>Overseas Purchase Settlement | Card No. 7884 Claude.Ai Subscription Anthr | (Effective 30/09/2025)</t>
  </si>
  <si>
    <t>Pos Purchase Settlement | Card No. 7884 Uber Cpt | (Effective 30/09/2025)</t>
  </si>
  <si>
    <t>Payshap Ext Debit Settlement | Audi Roadworthy</t>
  </si>
  <si>
    <t>Digital Payment Dt Settlement | Absa Bank Refund</t>
  </si>
  <si>
    <t>Refund</t>
  </si>
  <si>
    <t>Refund Out</t>
  </si>
  <si>
    <t>Pos Purchase Settlement | Card No. 7884 Ae Macs Brooklyn Fc Parow | (Effective 30/09/2025)</t>
  </si>
  <si>
    <t>Pos Purchase Settlement | Card No. 7884 Uber Cpt | (Effective 01/10/2025)</t>
  </si>
  <si>
    <t>Overseas Purchase Settlement | Card No. 7884 Google Gsuite_theprocessedubli | (Effective 01/10/2025)</t>
  </si>
  <si>
    <t>Pos Purchase Settlement | Card No. 7884 Uber Cpt | (Effective 03/10/2025)</t>
  </si>
  <si>
    <t>Stamped Statement Settlement</t>
  </si>
  <si>
    <t>Pos Purchase Settlement | Card No. 7884 Uber Cpt | (Effective 06/10/2025)</t>
  </si>
  <si>
    <t>Payshap Ext Debit Settlement | Traffic Registration</t>
  </si>
  <si>
    <t>Vehicle - Licensing</t>
  </si>
  <si>
    <t>Vehicle Licensing/Traffic</t>
  </si>
  <si>
    <t>Pos Purchase Settlement | Card No. 7884 Uber Cpt | (Effective 07/10/2025)</t>
  </si>
  <si>
    <t>Digital Payment Dt Settlement | Absa Bank Lawyer Initial Docs</t>
  </si>
  <si>
    <t>Pos Purchase Settlement | Card No. 7884 Shell Canal Walk Milne | (Effective 08/10/2025)</t>
  </si>
  <si>
    <t>Pos Purchase Settlement | Card No. 7884 Uber Cpt | (Effective 08/10/2025)</t>
  </si>
  <si>
    <t>Pos Purchase Settlement | THE PROCESS ENTERPRISE (PTY) LTD | 1 DA GAMA STREET</t>
  </si>
  <si>
    <t>Pos Purchase Settlement | Card No. 7884 Computer Mania Canal W Milne | (Effective 09/10/2025)</t>
  </si>
  <si>
    <t>Pos Purchase Settlement | Card No. 7884 Bwh City Yster | (Effective 09/10/2025)</t>
  </si>
  <si>
    <t>Pos Purchase Settlement | Card No. 7884 Incredible Connection Cape | (Effective 09/10/2025)</t>
  </si>
  <si>
    <t>Pos Purchase Settlement | Card No. 7884 Ae Macs Brooklyn Fc Parow | (Effective 09/10/2025)</t>
  </si>
  <si>
    <t>Pos Purchase Settlement | Card No. 7884 Uber Cpt | (Effective 09/10/2025)</t>
  </si>
  <si>
    <t>Payshap Ext Debit Settlement | Audi A4 Oil Fix</t>
  </si>
  <si>
    <t>Pos Purchase Settlement | Card No. 7884 Uber Cpt | (Effective 13/10/2025)</t>
  </si>
  <si>
    <t>Pos Purchase Settlement | Card No. 7884 Asa Midas Monta | (Effective 15/10/2025)</t>
  </si>
  <si>
    <t>Pos Purchase Settlement | Card No. 7884 Ae Macs Brooklyn Fc Parow | (Effective 15/10/2025)</t>
  </si>
  <si>
    <t>Digital Payment Dt Settlement | Absa Bank Stipend</t>
  </si>
  <si>
    <t>Staff Costs - Stipend</t>
  </si>
  <si>
    <t>Staff Stipend</t>
  </si>
  <si>
    <t>Pos Purchase Settlement | Card No. 7884 Makro Montague Cape | (Effective 23/10/2025)</t>
  </si>
  <si>
    <t>Office - General</t>
  </si>
  <si>
    <t>Makro Purchase (review)</t>
  </si>
  <si>
    <t>Pos Purchase Settlement | Card No. 7884 Shell Canal Walk Servi Milne | (Effective 23/10/2025)</t>
  </si>
  <si>
    <t>Pos Purchase Settlement | Card No. 7884 Auto World Midas Sigbotha | (Effective 27/10/2025)</t>
  </si>
  <si>
    <t>Payshap Ext Debit Settlement | Traffic And Car Reg</t>
  </si>
  <si>
    <t>Overseas Purchase Settlement | Card No. 7884 Claude.Ai Subscription Anthr | (Effective 30/10/2025)</t>
  </si>
  <si>
    <t>Payshap Ext Debit Settlement | Stipend</t>
  </si>
  <si>
    <t>Payshap Ext Debit Settlement | Reimburse +Thanks</t>
  </si>
  <si>
    <t>Staff Costs - Reimbursement</t>
  </si>
  <si>
    <t>Staff Reimbursement</t>
  </si>
  <si>
    <t>Overseas Purchase Settlement | Card No. 7884 Google Gsuite_theprocessedubli | (Effective 01/11/2025)</t>
  </si>
  <si>
    <t>Payshap Ext Debit Settlement | Audi Uber Registrati</t>
  </si>
  <si>
    <t>Pos Card Refund Settlement | Gadget Time Canal Walk Centu | (Effective 03/11/2025)</t>
  </si>
  <si>
    <t>Pos Purchase Settlement | Card No. 7884 Ae Macs Brooklyn Fc Parow | (Effective 04/11/2025)</t>
  </si>
  <si>
    <t>Payshap Ext Debit Settlement | Attorney Fees</t>
  </si>
  <si>
    <t>Pos Purchase Settlement | Card No. 7884 Cameraworld Bellv | (Effective 12/11/2025)</t>
  </si>
  <si>
    <t>Equipment - Camera/Photo</t>
  </si>
  <si>
    <t>Camera/Photo Equipment</t>
  </si>
  <si>
    <t>Pos Purchase Settlement | Card No. 7884 Pay At Enterprise Stell | (Effective 12/11/2025)</t>
  </si>
  <si>
    <t>Pos Purchase Settlement | Card No. 7884 Cinephoto Tools Cpt Cape | (Effective 13/11/2025)</t>
  </si>
  <si>
    <t>Pos Purchase Settlement | Card No. 7884 Ae Macs Brooklyn Fc Parow | (Effective 13/11/2025)</t>
  </si>
  <si>
    <t>Digital Payment Dt Settlement | Absa Bank Tuition</t>
  </si>
  <si>
    <t>Pos Purchase Settlement | Card No. 7884 Ae Macs Brooklyn Fc Parow | (Effective 16/11/2025)</t>
  </si>
  <si>
    <t>Pos Purchase Settlement | Card No. 7884 Ae Macs Brooklyn Fc Parow | (Effective 17/11/2025)</t>
  </si>
  <si>
    <t>Payshap Ext Debit Settlement | Driver Pdp Upfront</t>
  </si>
  <si>
    <t>Staff Costs - Training</t>
  </si>
  <si>
    <t>Driver PDP Training</t>
  </si>
  <si>
    <t>Proof Of Pmt Email Settlement | THE PROCESS ENTERPRISE (PTY) LTD | 1 DA GAMA STREET</t>
  </si>
  <si>
    <t>Digital Payment Dt Settlement | Absa Bank Visa</t>
  </si>
  <si>
    <t>Visa Application/Service (review)</t>
  </si>
  <si>
    <t>Pos Purchase Settlement | Card No. 7884 Ae Macs Brooklyn Fc Backumaitl | (Effective 21/11/2025)</t>
  </si>
  <si>
    <t>Pos Purchase Settlement | Card No. 7884 Auto World Midas Sigbotha | (Effective 25/11/2025)</t>
  </si>
  <si>
    <t>Acb Debit:External Settlement | Cartrack S101439400</t>
  </si>
  <si>
    <t>Pos Purchase Settlement | Card No. 7884 Gadget Time Canal Walk Centu | (Effective 27/11/2025)</t>
  </si>
  <si>
    <t>Overseas Purchase Settlement | Card No. 7884 Claude.Ai Subscription Anthr | (Effective 30/11/2025)</t>
  </si>
  <si>
    <t>Overseas Purchase Settlement | Card No. 7884 Google Workspace_theprocedubli | (Effective 01/12/2025)</t>
  </si>
  <si>
    <t>Pos Purchase Settlement | Card No. 7884 Uber Cpt | (Effective 02/12/2025)</t>
  </si>
  <si>
    <t>Pos Purchase Settlement | Card No. 7884 Ae Macs Brooklyn Fc Parow | (Effective 02/12/2025)</t>
  </si>
  <si>
    <t>Pos Purchase Settlement | Card No. 7884 Ok Mm Brooklyn - Arch Maitl | (Effective 04/12/2025)</t>
  </si>
  <si>
    <t>Pos Purchase Settlement | Card No. 7884 Bp Klein Drakenstein 2 Klein | (Effective 06/12/2025)</t>
  </si>
  <si>
    <t>Pos Purchase Settlement | Card No. 7884 Ok Mm Brooklyn - Arch Maitl | (Effective 06/12/2025)</t>
  </si>
  <si>
    <t>Pos Purchase Settlement | Card No. 7884 Payfast *Netram El Cape | (Effective 10/12/2025)</t>
  </si>
  <si>
    <t>Equipment - IT</t>
  </si>
  <si>
    <t>Electronics/IT Purchase</t>
  </si>
  <si>
    <t>Pos Purchase Settlement | Card No. 7884 Uber Cpt | (Effective 12/12/2025)</t>
  </si>
  <si>
    <t>Pos Purchase Settlement | Card No. 7884 Uber Cpt | (Effective 13/12/2025)</t>
  </si>
  <si>
    <t>Pos Purchase Settlement | Card No. 7884 Clicks Brooklyn Junc Weste | (Effective 16/12/2025)</t>
  </si>
  <si>
    <t>Pos Purchase Settlement | Card No. 7884 Uber Cpt | (Effective 16/12/2025)</t>
  </si>
  <si>
    <t>Pos Purchase Settlement | Card No. 7884 Midas Parow Goodw | (Effective 17/12/2025)</t>
  </si>
  <si>
    <t>Digital Payment Dt Settlement | Absa Bank Nkosinathi Vonco</t>
  </si>
  <si>
    <t>Staff Payment - Nkosinathi</t>
  </si>
  <si>
    <t>Payshap Ext Debit Settlement | Thabo Uber</t>
  </si>
  <si>
    <t>Acb Debit:External Settlement | Cartrack S102825294</t>
  </si>
  <si>
    <t>Overseas Purchase Settlement | Card No. 7884 Claude.Ai Subscription Anthr | (Effective 30/12/2025)</t>
  </si>
  <si>
    <t>Admin Charge Headoffice * | See Charge Statement Detail | THE PROCESS ENTERPRISE (PTY) LTD</t>
  </si>
  <si>
    <t>Monthly Acc Fee Headoffice * | YOUR PRICING PLAN : BUSINESS ESSENTIALS LITE PACK | CREDIT INTEREST RATE AS AT 03/12/2025 STANDARD - REFER TO</t>
  </si>
  <si>
    <t>Overseas Purchase Settlement | Card No. 7884 Google Workspace_theprocedubli | (Effective 01/01/2026)</t>
  </si>
  <si>
    <t>Digital Payment Dt Settlement | Absa Bank 40k Tuition Loan</t>
  </si>
  <si>
    <t>Pos Purchase Settlement | Card No. 7884 Ae Macs Brooklyn Fc Parow | (Effective 02/01/2026)</t>
  </si>
  <si>
    <t>Pos Purchase Settlement | Card No. 7884 Mrp Sport Canal Walk Cape | (Effective 05/01/2026)</t>
  </si>
  <si>
    <t>Pos Purchase Settlement | Card No. 7884 Ctfm Canal Walk Centu | (Effective 05/01/2026)</t>
  </si>
  <si>
    <t>Pos Purchase Settlement | Card No. 7884 Incredible Connection Cape | (Effective 08/01/2026)</t>
  </si>
  <si>
    <t>Pos Purchase Settlement | Card No. 7884 Gadget Time - Canal Wal Cape | (Effective 08/01/2026)</t>
  </si>
  <si>
    <t>Pos Purchase Settlement | Card No. 7884 Parket Cavendish Close Weste | (Effective 12/01/2026)</t>
  </si>
  <si>
    <t>Pos Purchase Settlement | Card No. 7884 Shell Canal Walk Milne | (Effective 12/01/2026)</t>
  </si>
  <si>
    <t>Pos Purchase Settlement | Card No. 7884 Uber Cpt | (Effective 14/01/2026)</t>
  </si>
  <si>
    <t>Pos Purchase Settlement | Card No. 7884 Ae Macs Brooklyn Fc Parow | (Effective 15/01/2026)</t>
  </si>
  <si>
    <t>Pos Purchase Settlement | Card No. 7884 Shell Canal Walk Milne | (Effective 20/01/2026)</t>
  </si>
  <si>
    <t>Pos Purchase Settlement | Card No. 7884 Uber Cpt | (Effective 20/01/2026)</t>
  </si>
  <si>
    <t>Pos Purchase Settlement | Card No. 7884 Shell Canal Walk Servi Milne | (Effective 20/01/2026)</t>
  </si>
  <si>
    <t>Pos Purchase Settlement | Card No. 7884 Woolworths Cape | (Effective 21/01/2026)</t>
  </si>
  <si>
    <t>Pos Purchase Settlement | Card No. 7884 Cinephoto Tools Cpt Cape | (Effective 21/01/2026)</t>
  </si>
  <si>
    <t>Payshap Ext Debit Settlement | Quo0000390</t>
  </si>
  <si>
    <t>Digital Payment Dt Settlement | Absa Bank Stipend | THE PROCESS ENTERPRISE (PTY) LTD</t>
  </si>
  <si>
    <t>Pos Purchase Settlement | Card No. 7884 Cinephoto Tools Cpt Cape | (Effective 23/01/2026)</t>
  </si>
  <si>
    <t>Pos Purchase Settlement | Card No. 7884 Ae Macs Brooklyn Fc Parow | (Effective 28/01/2026)</t>
  </si>
  <si>
    <t>Pos Purchase Settlement | Card No. 7884 Uber Cpt | (Effective 29/01/2026)</t>
  </si>
  <si>
    <t>Pos Purchase Settlement | Card No. 7884 Uber Cape | (Effective 30/01/2026)</t>
  </si>
  <si>
    <t>Acb Debit:External Settlement | Cartrack S104375204</t>
  </si>
  <si>
    <t>Pos Purchase Settlement | Card No. 7884 Uber Cpt | (Effective 30/01/2026)</t>
  </si>
  <si>
    <t>Overseas Purchase Settlement | Card No. 7884 Claude.Ai Subscription Anthr | (Effective 30/01/2026)</t>
  </si>
  <si>
    <t>Monthly Acc Fee Headoffice * | YOUR PRICING PLAN : BUSINESS ESSENTIALS LITE PACK | CREDIT INTEREST RATE AS AT 03/01/2026 STANDARD - REFER TO</t>
  </si>
  <si>
    <t>Pos Purchase Settlement | Card No. 7884 Ae Macs Brooklyn Fc Parow | (Effective 30/01/2026)</t>
  </si>
  <si>
    <t>Pos Purchase Settlement | Card No. 7884 Ik *Autoworks Milnerto Cape | (Effective 30/01/2026)</t>
  </si>
  <si>
    <t>Overseas Purchase Settlement | Card No. 7884 Google Workspace_theprocedubli | (Effective 01/02/2026)</t>
  </si>
  <si>
    <t>Pos Purchase Settlement | Card No. 7884 Ae Macs Brooklyn Fc Parow | (Effective 01/02/2026)</t>
  </si>
  <si>
    <t>Pos Purchase Settlement | Card No. 7884 Ok Mm Brooklyn - Arch Maitl | (Effective 01/02/2026)</t>
  </si>
  <si>
    <t>Pos Purchase Settlement | Card No. 7884 Uber Cpt | (Effective 02/02/2026)</t>
  </si>
  <si>
    <t>Digital Payment Dt Settlement | Absa Bank Medical Aid Pascal</t>
  </si>
  <si>
    <t>Staff Costs - Benefits</t>
  </si>
  <si>
    <t>Medical Aid Contribution</t>
  </si>
  <si>
    <t>Pos Purchase Settlement | Card No. 7884 Uber Cpt | (Effective 03/02/2026)</t>
  </si>
  <si>
    <t>Pos Purchase Settlement | Card No. 7884 Uber Cpt | (Effective 04/02/2026)</t>
  </si>
  <si>
    <t>Pos Purchase Settlement | Card No. 7884 Uber Cpt | (Effective 05/02/2026)</t>
  </si>
  <si>
    <t>Pos Purchase Settlement | Card No. 7884 Shell Canal Walk Milne | (Effective 09/02/2026)</t>
  </si>
  <si>
    <t>Pos Purchase Settlement | Card No. 7884 Truworths 0508 Wc | (Effective 09/02/2026)</t>
  </si>
  <si>
    <t>Personal - Clothing</t>
  </si>
  <si>
    <t>Clothing (review - not deductible unless uniform)</t>
  </si>
  <si>
    <t>Pos Purchase Settlement | Card No. 7884 Uber Cpt | (Effective 09/02/2026)</t>
  </si>
  <si>
    <t>Pos Purchase Settlement | Card No. 7884 Uber Cpt | (Effective 10/02/2026)</t>
  </si>
  <si>
    <t>Pos Purchase Settlement | Card No. 7884 Uber Cpt | (Effective 11/02/2026)</t>
  </si>
  <si>
    <t>Pos Purchase Settlement | Card No. 7884 Uber Cpt | (Effective 12/02/2026)</t>
  </si>
  <si>
    <t>Pos Purchase Settlement | Card No. 7884 Yoco *Vagabond Kitch Cape | (Effective 12/02/2026)</t>
  </si>
  <si>
    <t>Pos Purchase Settlement | Card No. 7884 Uber Cpt | (Effective 13/02/2026)</t>
  </si>
  <si>
    <t>Pos Purchase Settlement | Card No. 7884 Uber Cpt | (Effective 16/02/2026)</t>
  </si>
  <si>
    <t>Pos Purchase Settlement | Card No. 7884 Uber Cpt | (Effective 17/02/2026)</t>
  </si>
  <si>
    <t>Pos Purchase Settlement | Card No. 7884 Used Car Parts Kraai | (Effective 17/02/2026)</t>
  </si>
  <si>
    <t>Vehicle Parts</t>
  </si>
  <si>
    <t>Pos Purchase Settlement | Card No. 7884 Uber Cpt | (Effective 19/02/2026)</t>
  </si>
  <si>
    <t>Pos Purchase Settlement | Card No. 7884 Uber Cpt | (Effective 24/02/2026)</t>
  </si>
  <si>
    <t>Pos Purchase Settlement | Card No. 7884 Uber Cpt</t>
  </si>
  <si>
    <t>Pos Purchase Settlement | Card No. 7884 Uber Cpt | (Effective 26/02/2026)</t>
  </si>
  <si>
    <t>Acb Debit:External Settlement | Cartrack S105773529</t>
  </si>
  <si>
    <t>TOTALS:</t>
  </si>
  <si>
    <t>EXPENSE CATEGORY SUMMARY — Deduction Worksheet</t>
  </si>
  <si>
    <t>Aggregated by category. The 'Total Deductible' column drives your tax computation.</t>
  </si>
  <si>
    <t>Count</t>
  </si>
  <si>
    <t>Gross Amount (R)</t>
  </si>
  <si>
    <t>Charges (R)</t>
  </si>
  <si>
    <t>Total Deductible (R)</t>
  </si>
  <si>
    <t>Tax Treatment Notes</t>
  </si>
  <si>
    <t>Deductible PRO-RATA based on business km % from logbook (s11(a))</t>
  </si>
  <si>
    <t>Deductible PRO-RATA based on business km % from logbook (s11(d))</t>
  </si>
  <si>
    <t>Deductible PRO-RATA based on business km % from logbook</t>
  </si>
  <si>
    <t>Fully deductible if for business purpose (Uber, taxi)</t>
  </si>
  <si>
    <t>Travel - Air</t>
  </si>
  <si>
    <t>Fully deductible — keep boarding pass + invoice</t>
  </si>
  <si>
    <t>Travel - Accommodation</t>
  </si>
  <si>
    <t>Fully deductible — keep tax invoice</t>
  </si>
  <si>
    <t>Deductible IF for business purpose with records of who/why</t>
  </si>
  <si>
    <t>Deductible if business meeting documented (s11(a))</t>
  </si>
  <si>
    <t>100% deductible as operating expense</t>
  </si>
  <si>
    <t>If &lt;R7,000 immediately deductible; if &gt;R7,000 capitalise</t>
  </si>
  <si>
    <t>CAPITAL — depreciate via wear-and-tear over 3 yrs (s11(e))</t>
  </si>
  <si>
    <t>CAPITAL — depreciate via wear-and-tear over 6 yrs (s11(e))</t>
  </si>
  <si>
    <t>Deductible if for staff/clients in business context</t>
  </si>
  <si>
    <t>Deductible if business-related</t>
  </si>
  <si>
    <t>Fully deductible (CIPC, regulatory fees)</t>
  </si>
  <si>
    <t>Fully deductible (legal, accounting, audit)</t>
  </si>
  <si>
    <t>100% deductible operating expense</t>
  </si>
  <si>
    <t>Fully deductible BUT must be on PAYE; declare on EMP201/EMP501</t>
  </si>
  <si>
    <t>Deductible BUT review whether IRP5 needed if regular employees</t>
  </si>
  <si>
    <t>Deductible (medical aid, etc.)</t>
  </si>
  <si>
    <t>Fully deductible — Learnership allowance may apply (s12H)</t>
  </si>
  <si>
    <t>Deductible if actual business expense reimbursed</t>
  </si>
  <si>
    <t>NOT deductible unless protective/branded uniform</t>
  </si>
  <si>
    <t>PRINCIPAL not deductible; interest portion deductible</t>
  </si>
  <si>
    <t>Reduces income, not an expense</t>
  </si>
  <si>
    <t>NEEDS REVIEW — manually classify each item</t>
  </si>
  <si>
    <t>Inter-account transfer — NOT an expense</t>
  </si>
  <si>
    <t>TOTAL DEDUCTIBLE OPERATING EXPENSES</t>
  </si>
  <si>
    <t>AUDI A4 BUSINESS VEHICLE LOGBOOK — SARS Compliant</t>
  </si>
  <si>
    <t>REQUIRED to claim ANY vehicle deduction. Without this, SARS disallows fuel/maintenance/licensing.</t>
  </si>
  <si>
    <t>Vehicle:</t>
  </si>
  <si>
    <t>Audi A4 (Business)</t>
  </si>
  <si>
    <t>Owner:</t>
  </si>
  <si>
    <t>The Process Enterprise (Pty) Ltd</t>
  </si>
  <si>
    <t>Period:</t>
  </si>
  <si>
    <t>1 March 2025 – 28 February 2026</t>
  </si>
  <si>
    <t>Opening Odometer (1 March 2025):</t>
  </si>
  <si>
    <t>FILL IN</t>
  </si>
  <si>
    <t>Closing Odometer (28 Feb 2026):</t>
  </si>
  <si>
    <t>Total km traveled (calculated):</t>
  </si>
  <si>
    <t>From</t>
  </si>
  <si>
    <t>To</t>
  </si>
  <si>
    <t>Purpose / Client / Notes</t>
  </si>
  <si>
    <t>Start km</t>
  </si>
  <si>
    <t>End km</t>
  </si>
  <si>
    <t>Distance (km)</t>
  </si>
  <si>
    <t>Business / Private</t>
  </si>
  <si>
    <t>LOGBOOK SUMMARY</t>
  </si>
  <si>
    <t>Total Business km:</t>
  </si>
  <si>
    <t>Total Private km:</t>
  </si>
  <si>
    <t>Total km logged:</t>
  </si>
  <si>
    <t>Business use %:</t>
  </si>
  <si>
    <t>→ Apply this % to Vehicle Fuel/Maintenance/Licensing in '3. Expense Register' (column G)</t>
  </si>
  <si>
    <t>ASSET REGISTER &amp; WEAR-AND-TEAR (DEPRECIATION) — s11(e)</t>
  </si>
  <si>
    <t>SARS Interpretation Note 47: write-off periods. Capital assets are deducted via wear-and-tear, not as expenses.</t>
  </si>
  <si>
    <t>#</t>
  </si>
  <si>
    <t>Asset Description</t>
  </si>
  <si>
    <t>Date Acquired</t>
  </si>
  <si>
    <t>Cost (R)</t>
  </si>
  <si>
    <t>Useful Life (Yrs)</t>
  </si>
  <si>
    <t>Annual Wear-and-Tear (R)</t>
  </si>
  <si>
    <t>% Business Use</t>
  </si>
  <si>
    <t>Deductible W&amp;T (R)</t>
  </si>
  <si>
    <t>iPhone 12 (Business)</t>
  </si>
  <si>
    <t>2025-03-01</t>
  </si>
  <si>
    <t>iPhone 14 Pro (Business)</t>
  </si>
  <si>
    <t>Work Laptop #1</t>
  </si>
  <si>
    <t>Work Laptop #2</t>
  </si>
  <si>
    <t>Sony Camera</t>
  </si>
  <si>
    <t>Audi A4 Vehicle</t>
  </si>
  <si>
    <t>Camera/Photo Equipment (Cinephoto purchases)</t>
  </si>
  <si>
    <t>2026-01-24</t>
  </si>
  <si>
    <t>Camera Equipment (Cameraworld)</t>
  </si>
  <si>
    <t>2025-11-14</t>
  </si>
  <si>
    <t>Camera Equipment (Cinephoto Nov)</t>
  </si>
  <si>
    <t>2025-11-16</t>
  </si>
  <si>
    <t>3D Printer (Payfast / Netram)</t>
  </si>
  <si>
    <t>2025-12-11</t>
  </si>
  <si>
    <t>Speaker/Monitor</t>
  </si>
  <si>
    <t>2025-07-08</t>
  </si>
  <si>
    <t>TOTAL</t>
  </si>
  <si>
    <t>SARS WRITE-OFF PERIODS (Interpretation Note 47, Annexure A):</t>
  </si>
  <si>
    <t>• Computers: 3 years</t>
  </si>
  <si>
    <t>• Cell phones: 2 years (we used 3 conservatively)</t>
  </si>
  <si>
    <t>• Cameras (photographic equipment): 6 years</t>
  </si>
  <si>
    <t>• Motor vehicles (passenger): 5 years</t>
  </si>
  <si>
    <t>• Furniture &amp; fittings: 6 years</t>
  </si>
  <si>
    <t>• Section 12C: NEW manufacturing assets — accelerated 40/20/20/20</t>
  </si>
  <si>
    <t>• Small items &lt;R7,000: can be expensed in full (s11(e) proviso)</t>
  </si>
  <si>
    <t>BUSINESS TRIPS &amp; TRAVEL REGISTER</t>
  </si>
  <si>
    <t>Document each business trip with purpose. Required for SARS to allow travel/entertainment deductions.</t>
  </si>
  <si>
    <t>Trip #</t>
  </si>
  <si>
    <t>Date(s)</t>
  </si>
  <si>
    <t>Destination</t>
  </si>
  <si>
    <t>Purpose / Client</t>
  </si>
  <si>
    <t>People Met</t>
  </si>
  <si>
    <t>Travel Cost (R)</t>
  </si>
  <si>
    <t>Accommodation (R)</t>
  </si>
  <si>
    <t>Meals/Entertainment (R)</t>
  </si>
  <si>
    <t>2025-04-10 to 11</t>
  </si>
  <si>
    <t>Cape Town</t>
  </si>
  <si>
    <t>Client dinner — DA (multiple meetings)</t>
  </si>
  <si>
    <t>DA (fill in full name &amp; company)</t>
  </si>
  <si>
    <t>2025-04-15</t>
  </si>
  <si>
    <t>Client meeting — DA</t>
  </si>
  <si>
    <t>DA (fill in)</t>
  </si>
  <si>
    <t>2025-04-12</t>
  </si>
  <si>
    <t>Travel + tire (review purpose)</t>
  </si>
  <si>
    <t>Fill in</t>
  </si>
  <si>
    <t>TOTAL TRIPS</t>
  </si>
  <si>
    <t>MISSING RECEIPTS LOG</t>
  </si>
  <si>
    <t>For receipts you don't have: prepare an affidavit + bank statement to support the expense. VAT input cannot be claimed without a valid tax invoice.</t>
  </si>
  <si>
    <t>Reason Receipt Missing</t>
  </si>
  <si>
    <t>Supporting Evidence Available</t>
  </si>
  <si>
    <t>Affidavit Done? (Y/N)</t>
  </si>
  <si>
    <t>Pos Purchase Settlement | Card No. 7884 Used Car Parts Kraai | (Effective 17/02/</t>
  </si>
  <si>
    <t>Fill in (e.g., 'lost', 'never received')</t>
  </si>
  <si>
    <t>Bank statement entry</t>
  </si>
  <si>
    <t>N</t>
  </si>
  <si>
    <t>Pos Purchase Settlement | Card No. 7884 Cinephoto Tools Cpt Cape | (Effective 21</t>
  </si>
  <si>
    <t>Pos Purchase Settlement | Card No. 7884 Payfast *Netram El Cape | (Effective 10/</t>
  </si>
  <si>
    <t>Digital Payment Dt Settlement | Absa Bank Stipend | THE PROCESS ENTERPRISE (PTY)</t>
  </si>
  <si>
    <t>Pos Purchase Settlement | Card No. 7884 Cameraworld Bellv | (Effective 12/11/202</t>
  </si>
  <si>
    <t>CORPORATE TAX COMPUTATION — Year of Assessment 2026</t>
  </si>
  <si>
    <t>The Process Enterprise (Pty) Ltd — Year ended 28 February 2026</t>
  </si>
  <si>
    <t>Reference</t>
  </si>
  <si>
    <t>INCOME</t>
  </si>
  <si>
    <t>Gross Business Income</t>
  </si>
  <si>
    <t>Less: Refunds Issued</t>
  </si>
  <si>
    <t>Customer refunds</t>
  </si>
  <si>
    <t>NET INCOME</t>
  </si>
  <si>
    <t>LESS: DEDUCTIBLE OPERATING EXPENSES</t>
  </si>
  <si>
    <t>Pro-rata business %</t>
  </si>
  <si>
    <t>Travel - Local (Uber etc.)</t>
  </si>
  <si>
    <t>Travel - Air &amp; Accommodation</t>
  </si>
  <si>
    <t>Meals &amp; Entertainment</t>
  </si>
  <si>
    <t>Must have business purpose docs</t>
  </si>
  <si>
    <t>Software &amp; SaaS</t>
  </si>
  <si>
    <t>Compliance &amp; Professional Fees</t>
  </si>
  <si>
    <t>CIPC, legal, accounting</t>
  </si>
  <si>
    <t>Must be on PAYE</t>
  </si>
  <si>
    <t>Staff Costs (Stipends/Benefits/Training)</t>
  </si>
  <si>
    <t>Review IRP5 obligations</t>
  </si>
  <si>
    <t>TOTAL OPERATING EXPENSES</t>
  </si>
  <si>
    <t>From '4. Category Summary' (master total)</t>
  </si>
  <si>
    <t>LESS: WEAR-AND-TEAR (DEPRECIATION)</t>
  </si>
  <si>
    <t>TAXABLE INCOME</t>
  </si>
  <si>
    <t>Income less expenses less depreciation</t>
  </si>
  <si>
    <t>CORPORATE INCOME TAX @ 27%</t>
  </si>
  <si>
    <t>Standard CIT rate FY 2025/26</t>
  </si>
  <si>
    <t>LESS: Provisional Tax Already Paid</t>
  </si>
  <si>
    <t>FILL IN — IRP6 payments</t>
  </si>
  <si>
    <t>TAX PAYABLE / (REFUND)</t>
  </si>
  <si>
    <t>SMALL BUSINESS CORPORATION (SBC) SCENARIO — POTENTIAL HUGE SAVING</t>
  </si>
  <si>
    <t>Pty Ltd qualifying as SBC pays 0% tax on first R95,750 — your taxable income may fall entirely in the 0% bracket. Check eligibility: (a) all members natural persons, (b) gross income ≤ R20m, (c) ≤20% income from investments/personal services, (d) not a personal service provider.</t>
  </si>
  <si>
    <t>SBC Tax Bands (Y/A 2026)</t>
  </si>
  <si>
    <t>Rate</t>
  </si>
  <si>
    <t>R0 – R95,750</t>
  </si>
  <si>
    <t>0%</t>
  </si>
  <si>
    <t>R95,751 – R365,000</t>
  </si>
  <si>
    <t>7% above R95,750</t>
  </si>
  <si>
    <t>R365,001 – R550,000</t>
  </si>
  <si>
    <t>R18,848 + 21% above R365,000</t>
  </si>
  <si>
    <t>Above R550,000</t>
  </si>
  <si>
    <t>R57,698 + 27% above R550,000</t>
  </si>
  <si>
    <t>SBC Tax on YOUR taxable income</t>
  </si>
  <si>
    <t>Standard CIT Tax (27% flat)</t>
  </si>
  <si>
    <t>From row 29 above</t>
  </si>
  <si>
    <t>POTENTIAL TAX SAVING IF SBC</t>
  </si>
  <si>
    <t>Confirm SBC eligibility with your accountant</t>
  </si>
  <si>
    <t>SARS COMPLIANCE CHECKLIST — 2025/2026 Year of Assessment</t>
  </si>
  <si>
    <t>Task</t>
  </si>
  <si>
    <t>Deadline</t>
  </si>
  <si>
    <t>Status</t>
  </si>
  <si>
    <t>PROVISIONAL TAX</t>
  </si>
  <si>
    <t>Required for Pty Ltd</t>
  </si>
  <si>
    <t>First Provisional Tax (IRP6)</t>
  </si>
  <si>
    <t>31 August 2025</t>
  </si>
  <si>
    <t>PAST</t>
  </si>
  <si>
    <t>If missed, penalties may apply</t>
  </si>
  <si>
    <t>Second Provisional Tax (IRP6)</t>
  </si>
  <si>
    <t>28 February 2026</t>
  </si>
  <si>
    <t>DUE</t>
  </si>
  <si>
    <t>Based on actual estimates</t>
  </si>
  <si>
    <t>Third Top-up (Voluntary)</t>
  </si>
  <si>
    <t>30 September 2026</t>
  </si>
  <si>
    <t>Future</t>
  </si>
  <si>
    <t>To avoid 7.5% interest on shortfall</t>
  </si>
  <si>
    <t>ANNUAL FILINGS</t>
  </si>
  <si>
    <t>Income Tax Return ITR14</t>
  </si>
  <si>
    <t>28 February 2027 (12 months after YE)</t>
  </si>
  <si>
    <t>Pty Ltd corporate tax return</t>
  </si>
  <si>
    <t>Annual Financial Statements (AFS)</t>
  </si>
  <si>
    <t>Within 6 months of YE</t>
  </si>
  <si>
    <t>CIPC Annual Return</t>
  </si>
  <si>
    <t>Anniversary of incorporation</t>
  </si>
  <si>
    <t>Check</t>
  </si>
  <si>
    <t>R100 fee paid May 2025 ✓</t>
  </si>
  <si>
    <t>PAYE / EMP201</t>
  </si>
  <si>
    <t>If you pay salaries</t>
  </si>
  <si>
    <t>Monthly EMP201 returns</t>
  </si>
  <si>
    <t>7th of following month</t>
  </si>
  <si>
    <t>Monthly</t>
  </si>
  <si>
    <t>Director Salary R25,000 — needs PAYE if &gt; tax threshold</t>
  </si>
  <si>
    <t>EMP501 Reconciliation (interim)</t>
  </si>
  <si>
    <t>31 October 2025</t>
  </si>
  <si>
    <t>If registered for PAYE</t>
  </si>
  <si>
    <t>EMP501 Reconciliation (annual)</t>
  </si>
  <si>
    <t>31 May 2026</t>
  </si>
  <si>
    <t>Submit IRP5/IT3(a) certificates</t>
  </si>
  <si>
    <t>VAT (only if registered)</t>
  </si>
  <si>
    <t>Required if turnover &gt; R1m/yr — your turnover is below</t>
  </si>
  <si>
    <t>VAT201 returns</t>
  </si>
  <si>
    <t>Bi-monthly or monthly</t>
  </si>
  <si>
    <t>Check status</t>
  </si>
  <si>
    <t>You appear NOT registered</t>
  </si>
  <si>
    <t>DOCUMENTS TO KEEP (5 years)</t>
  </si>
  <si>
    <t>Bank statements</t>
  </si>
  <si>
    <t>Whole period</t>
  </si>
  <si>
    <t>✓ Have these</t>
  </si>
  <si>
    <t>12 statements covered</t>
  </si>
  <si>
    <t>Tax invoices for all expenses</t>
  </si>
  <si>
    <t>Each transaction</t>
  </si>
  <si>
    <t>INCOMPLETE</t>
  </si>
  <si>
    <t>See Missing Receipts sheet</t>
  </si>
  <si>
    <t>Vehicle logbook</t>
  </si>
  <si>
    <t>Full year</t>
  </si>
  <si>
    <t>MISSING</t>
  </si>
  <si>
    <t>Critical — fill in sheet 5</t>
  </si>
  <si>
    <t>Director Resolutions (salaries, etc.)</t>
  </si>
  <si>
    <t>When paid</t>
  </si>
  <si>
    <t>For director remuneration</t>
  </si>
  <si>
    <t>Loan agreements (if any)</t>
  </si>
  <si>
    <t>When signed</t>
  </si>
  <si>
    <t>R65,500 loan repayment seen</t>
  </si>
  <si>
    <t>Asset purchase invoices</t>
  </si>
  <si>
    <t>When acquired</t>
  </si>
  <si>
    <t>For depreciation claims</t>
  </si>
  <si>
    <t>Trip records (purpose, attendees)</t>
  </si>
  <si>
    <t>Per trip</t>
  </si>
  <si>
    <t>See Trips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</si>
</sst>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0.0%"/>
    <numFmt numFmtId="166" formatCode="[$R]#,##0.00"/>
    <numFmt numFmtId="167" formatCode="yyyy-mm-dd"/>
  </numFmts>
  <fonts count="22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595959"/>
      <name val="Arial"/>
    </font>
    <font>
      <sz val="11.0"/>
      <color theme="1"/>
      <name val="Calibri"/>
    </font>
    <font>
      <b/>
      <sz val="13.0"/>
      <color rgb="FF1F4E78"/>
      <name val="Arial"/>
    </font>
    <font>
      <b/>
      <sz val="10.0"/>
      <color rgb="FFFFFFFF"/>
      <name val="Arial"/>
    </font>
    <font/>
    <font>
      <sz val="10.0"/>
      <color theme="1"/>
      <name val="Arial"/>
    </font>
    <font>
      <sz val="10.0"/>
      <color rgb="FF008000"/>
      <name val="Arial"/>
    </font>
    <font>
      <b/>
      <sz val="10.0"/>
      <color theme="1"/>
      <name val="Arial"/>
    </font>
    <font>
      <b/>
      <sz val="11.0"/>
      <color rgb="FF006100"/>
      <name val="Arial"/>
    </font>
    <font>
      <b/>
      <sz val="12.0"/>
      <color rgb="FFC00000"/>
      <name val="Arial"/>
    </font>
    <font>
      <b/>
      <sz val="12.0"/>
      <color rgb="FF006100"/>
      <name val="Arial"/>
    </font>
    <font>
      <b/>
      <sz val="11.0"/>
      <color rgb="FFFFFFFF"/>
      <name val="Arial"/>
    </font>
    <font>
      <b/>
      <sz val="16.0"/>
      <color rgb="FF000000"/>
      <name val="Arial"/>
    </font>
    <font>
      <sz val="10.0"/>
      <color rgb="FF0000FF"/>
      <name val="Arial"/>
    </font>
    <font>
      <i/>
      <sz val="10.0"/>
      <color rgb="FFC00000"/>
      <name val="Arial"/>
    </font>
    <font>
      <sz val="10.0"/>
      <color rgb="FF000000"/>
      <name val="Arial"/>
    </font>
    <font>
      <b/>
      <sz val="12.0"/>
      <color rgb="FF1F4E78"/>
      <name val="Arial"/>
    </font>
    <font>
      <b/>
      <sz val="13.0"/>
      <color rgb="FFC00000"/>
      <name val="Arial"/>
    </font>
    <font>
      <b/>
      <sz val="11.0"/>
      <color rgb="FFC00000"/>
      <name val="Arial"/>
    </font>
    <font>
      <b/>
      <sz val="11.0"/>
      <color rgb="FF9C57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shrinkToFit="0" vertical="bottom" wrapText="0"/>
    </xf>
    <xf borderId="1" fillId="2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3" fontId="10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center" wrapText="1"/>
    </xf>
    <xf borderId="1" fillId="3" fontId="12" numFmtId="0" xfId="0" applyAlignment="1" applyBorder="1" applyFont="1">
      <alignment shrinkToFit="0" vertical="bottom" wrapText="0"/>
    </xf>
    <xf borderId="5" fillId="4" fontId="13" numFmtId="0" xfId="0" applyAlignment="1" applyBorder="1" applyFill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right" shrinkToFit="0" vertical="center" wrapText="0"/>
    </xf>
    <xf borderId="1" fillId="5" fontId="9" numFmtId="0" xfId="0" applyAlignment="1" applyBorder="1" applyFill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5" fillId="6" fontId="13" numFmtId="0" xfId="0" applyAlignment="1" applyBorder="1" applyFill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7" fontId="15" numFmtId="165" xfId="0" applyAlignment="1" applyBorder="1" applyFill="1" applyFont="1" applyNumberFormat="1">
      <alignment horizontal="center" shrinkToFit="0" vertical="center" wrapText="1"/>
    </xf>
    <xf borderId="5" fillId="8" fontId="7" numFmtId="164" xfId="0" applyAlignment="1" applyBorder="1" applyFill="1" applyFont="1" applyNumberFormat="1">
      <alignment horizontal="center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right" shrinkToFit="0" vertical="center" wrapText="0"/>
    </xf>
    <xf borderId="5" fillId="8" fontId="15" numFmtId="165" xfId="0" applyAlignment="1" applyBorder="1" applyFont="1" applyNumberFormat="1">
      <alignment horizontal="center" shrinkToFit="0" vertical="center" wrapText="1"/>
    </xf>
    <xf borderId="0" fillId="0" fontId="3" numFmtId="166" xfId="0" applyAlignment="1" applyFont="1" applyNumberFormat="1">
      <alignment shrinkToFit="0" vertical="bottom" wrapText="0"/>
    </xf>
    <xf borderId="5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right" shrinkToFit="0" vertical="center" wrapText="0"/>
    </xf>
    <xf borderId="6" fillId="3" fontId="9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1" fillId="7" fontId="15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5" fillId="7" fontId="15" numFmtId="0" xfId="0" applyAlignment="1" applyBorder="1" applyFont="1">
      <alignment horizontal="left" shrinkToFit="0" vertical="center" wrapText="1"/>
    </xf>
    <xf borderId="5" fillId="7" fontId="15" numFmtId="0" xfId="0" applyAlignment="1" applyBorder="1" applyFont="1">
      <alignment horizontal="right" shrinkToFit="0" vertical="center" wrapText="0"/>
    </xf>
    <xf borderId="5" fillId="0" fontId="7" numFmtId="3" xfId="0" applyAlignment="1" applyBorder="1" applyFont="1" applyNumberFormat="1">
      <alignment horizontal="right" shrinkToFit="0" vertical="center" wrapText="0"/>
    </xf>
    <xf borderId="0" fillId="0" fontId="18" numFmtId="0" xfId="0" applyAlignment="1" applyFont="1">
      <alignment shrinkToFit="0" vertical="bottom" wrapText="0"/>
    </xf>
    <xf borderId="0" fillId="0" fontId="9" numFmtId="3" xfId="0" applyAlignment="1" applyFont="1" applyNumberFormat="1">
      <alignment shrinkToFit="0" vertical="bottom" wrapText="0"/>
    </xf>
    <xf borderId="1" fillId="3" fontId="12" numFmtId="165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horizontal="left" shrinkToFit="0" vertical="center" wrapText="1"/>
    </xf>
    <xf borderId="5" fillId="7" fontId="15" numFmtId="0" xfId="0" applyAlignment="1" applyBorder="1" applyFont="1">
      <alignment horizontal="left" readingOrder="0" shrinkToFit="0" vertical="center" wrapText="1"/>
    </xf>
    <xf borderId="5" fillId="7" fontId="15" numFmtId="0" xfId="0" applyAlignment="1" applyBorder="1" applyFont="1">
      <alignment horizontal="right" readingOrder="0" shrinkToFit="0" vertical="center" wrapText="0"/>
    </xf>
    <xf borderId="5" fillId="7" fontId="15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right" shrinkToFit="0" vertical="center" wrapText="0"/>
    </xf>
    <xf borderId="5" fillId="7" fontId="15" numFmtId="165" xfId="0" applyAlignment="1" applyBorder="1" applyFont="1" applyNumberFormat="1">
      <alignment horizontal="right" shrinkToFit="0" vertical="center" wrapText="0"/>
    </xf>
    <xf borderId="5" fillId="7" fontId="15" numFmtId="167" xfId="0" applyAlignment="1" applyBorder="1" applyFont="1" applyNumberFormat="1">
      <alignment horizontal="left" readingOrder="0" shrinkToFit="0" vertical="center" wrapText="1"/>
    </xf>
    <xf borderId="5" fillId="7" fontId="15" numFmtId="165" xfId="0" applyAlignment="1" applyBorder="1" applyFont="1" applyNumberFormat="1">
      <alignment horizontal="right" readingOrder="0" shrinkToFit="0" vertical="center" wrapText="0"/>
    </xf>
    <xf borderId="5" fillId="2" fontId="5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horizontal="right" shrinkToFit="0" vertical="center" wrapText="0"/>
    </xf>
    <xf borderId="5" fillId="0" fontId="8" numFmtId="0" xfId="0" applyAlignment="1" applyBorder="1" applyFont="1">
      <alignment horizontal="right" shrinkToFit="0" vertical="center" wrapText="0"/>
    </xf>
    <xf borderId="5" fillId="5" fontId="9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right" shrinkToFit="0" vertical="center" wrapText="0"/>
    </xf>
    <xf borderId="5" fillId="0" fontId="3" numFmtId="0" xfId="0" applyAlignment="1" applyBorder="1" applyFont="1">
      <alignment horizontal="right" shrinkToFit="0" vertical="center" wrapText="0"/>
    </xf>
    <xf borderId="1" fillId="3" fontId="3" numFmtId="0" xfId="0" applyAlignment="1" applyBorder="1" applyFont="1">
      <alignment shrinkToFit="0" vertical="bottom" wrapText="0"/>
    </xf>
    <xf borderId="1" fillId="3" fontId="11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1" fillId="2" fontId="5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5" fillId="0" fontId="9" numFmtId="0" xfId="0" applyAlignment="1" applyBorder="1" applyFont="1">
      <alignment horizontal="right" shrinkToFit="0" vertical="center" wrapText="0"/>
    </xf>
    <xf borderId="5" fillId="3" fontId="10" numFmtId="0" xfId="0" applyAlignment="1" applyBorder="1" applyFont="1">
      <alignment horizontal="left" shrinkToFit="0" vertical="center" wrapText="0"/>
    </xf>
    <xf borderId="5" fillId="3" fontId="10" numFmtId="0" xfId="0" applyAlignment="1" applyBorder="1" applyFont="1">
      <alignment horizontal="right" shrinkToFit="0" vertical="center" wrapText="0"/>
    </xf>
    <xf borderId="5" fillId="8" fontId="20" numFmtId="0" xfId="0" applyAlignment="1" applyBorder="1" applyFont="1">
      <alignment horizontal="left" shrinkToFit="0" vertical="center" wrapText="1"/>
    </xf>
    <xf borderId="5" fillId="7" fontId="21" numFmtId="0" xfId="0" applyAlignment="1" applyBorder="1" applyFont="1">
      <alignment horizontal="left" shrinkToFit="0" vertical="center" wrapText="1"/>
    </xf>
    <xf borderId="5" fillId="3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2.0"/>
    <col customWidth="1" min="3" max="3" width="50.0"/>
    <col customWidth="1" min="4" max="6" width="20.0"/>
    <col customWidth="1" min="7" max="26" width="8.71"/>
  </cols>
  <sheetData>
    <row r="1" ht="27.75" customHeight="1">
      <c r="A1" s="1" t="s">
        <v>0</v>
      </c>
    </row>
    <row r="2" ht="15.0" customHeight="1">
      <c r="A2" s="2" t="s">
        <v>1</v>
      </c>
    </row>
    <row r="3" ht="15.0" customHeight="1">
      <c r="A3" s="2" t="s">
        <v>2</v>
      </c>
    </row>
    <row r="4">
      <c r="A4" s="3"/>
      <c r="B4" s="3"/>
      <c r="C4" s="3"/>
      <c r="D4" s="3"/>
      <c r="E4" s="3"/>
      <c r="F4" s="3"/>
    </row>
    <row r="5" ht="15.75" customHeight="1">
      <c r="A5" s="4" t="s">
        <v>3</v>
      </c>
      <c r="B5" s="3"/>
      <c r="C5" s="3"/>
      <c r="D5" s="3"/>
      <c r="E5" s="3"/>
      <c r="F5" s="3"/>
    </row>
    <row r="6" ht="15.0" customHeight="1">
      <c r="A6" s="5" t="s">
        <v>4</v>
      </c>
      <c r="B6" s="6" t="s">
        <v>5</v>
      </c>
      <c r="C6" s="7"/>
      <c r="D6" s="7"/>
      <c r="E6" s="7"/>
      <c r="F6" s="8"/>
    </row>
    <row r="7" ht="15.0" customHeight="1">
      <c r="A7" s="9" t="s">
        <v>6</v>
      </c>
      <c r="B7" s="9" t="s">
        <v>7</v>
      </c>
    </row>
    <row r="8" ht="15.0" customHeight="1">
      <c r="A8" s="9" t="s">
        <v>8</v>
      </c>
      <c r="B8" s="9" t="s">
        <v>9</v>
      </c>
    </row>
    <row r="9" ht="15.0" customHeight="1">
      <c r="A9" s="9" t="s">
        <v>10</v>
      </c>
      <c r="B9" s="9" t="s">
        <v>11</v>
      </c>
    </row>
    <row r="10" ht="15.0" customHeight="1">
      <c r="A10" s="9" t="s">
        <v>12</v>
      </c>
      <c r="B10" s="9" t="s">
        <v>13</v>
      </c>
    </row>
    <row r="11" ht="15.0" customHeight="1">
      <c r="A11" s="9" t="s">
        <v>14</v>
      </c>
      <c r="B11" s="9" t="s">
        <v>15</v>
      </c>
    </row>
    <row r="12" ht="15.0" customHeight="1">
      <c r="A12" s="9" t="s">
        <v>16</v>
      </c>
      <c r="B12" s="9" t="s">
        <v>17</v>
      </c>
    </row>
    <row r="13" ht="15.0" customHeight="1">
      <c r="A13" s="9" t="s">
        <v>18</v>
      </c>
      <c r="B13" s="9" t="s">
        <v>19</v>
      </c>
    </row>
    <row r="14" ht="15.0" customHeight="1">
      <c r="A14" s="9" t="s">
        <v>20</v>
      </c>
      <c r="B14" s="9" t="s">
        <v>21</v>
      </c>
    </row>
    <row r="15" ht="15.0" customHeight="1">
      <c r="A15" s="9" t="s">
        <v>22</v>
      </c>
      <c r="B15" s="9" t="s">
        <v>23</v>
      </c>
    </row>
    <row r="16" ht="15.0" customHeight="1">
      <c r="A16" s="9" t="s">
        <v>24</v>
      </c>
      <c r="B16" s="9" t="s">
        <v>25</v>
      </c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 ht="15.75" customHeight="1">
      <c r="A19" s="4" t="s">
        <v>26</v>
      </c>
      <c r="B19" s="3"/>
      <c r="C19" s="3"/>
      <c r="D19" s="3"/>
      <c r="E19" s="3"/>
      <c r="F19" s="3"/>
    </row>
    <row r="20" ht="15.0" customHeight="1">
      <c r="A20" s="10" t="s">
        <v>27</v>
      </c>
      <c r="B20" s="10" t="s">
        <v>28</v>
      </c>
      <c r="C20" s="10" t="s">
        <v>29</v>
      </c>
      <c r="D20" s="3"/>
      <c r="E20" s="3"/>
      <c r="F20" s="3"/>
    </row>
    <row r="21" ht="15.0" customHeight="1">
      <c r="A21" s="9" t="s">
        <v>30</v>
      </c>
      <c r="B21" s="11">
        <f>'2. Income Register'!B2</f>
        <v>515904.84</v>
      </c>
      <c r="C21" s="2" t="s">
        <v>31</v>
      </c>
      <c r="D21" s="3"/>
      <c r="E21" s="3"/>
      <c r="F21" s="3"/>
    </row>
    <row r="22" ht="15.0" customHeight="1">
      <c r="A22" s="9" t="s">
        <v>32</v>
      </c>
      <c r="B22" s="11">
        <f>'4. Category Summary'!E50</f>
        <v>376689.73</v>
      </c>
      <c r="C22" s="2" t="s">
        <v>33</v>
      </c>
      <c r="D22" s="3"/>
      <c r="E22" s="3"/>
      <c r="F22" s="3"/>
    </row>
    <row r="23" ht="15.0" customHeight="1">
      <c r="A23" s="9" t="s">
        <v>34</v>
      </c>
      <c r="B23" s="11">
        <f>'6. Asset Register'!H30</f>
        <v>75102.83333</v>
      </c>
      <c r="C23" s="2" t="s">
        <v>35</v>
      </c>
      <c r="D23" s="3"/>
      <c r="E23" s="3"/>
      <c r="F23" s="3"/>
    </row>
    <row r="24" ht="15.0" customHeight="1">
      <c r="A24" s="9"/>
      <c r="B24" s="11"/>
      <c r="C24" s="2"/>
      <c r="D24" s="3"/>
      <c r="E24" s="3"/>
      <c r="F24" s="3"/>
    </row>
    <row r="25" ht="15.0" customHeight="1">
      <c r="A25" s="12" t="s">
        <v>36</v>
      </c>
      <c r="B25" s="11">
        <f>B21-B22-B23</f>
        <v>64112.27667</v>
      </c>
      <c r="C25" s="2" t="s">
        <v>37</v>
      </c>
      <c r="D25" s="3"/>
      <c r="E25" s="3"/>
      <c r="F25" s="3"/>
    </row>
    <row r="26" ht="15.0" customHeight="1">
      <c r="A26" s="12" t="s">
        <v>38</v>
      </c>
      <c r="B26" s="11">
        <f>IF(B25&gt;0,B25*0.27,0)</f>
        <v>17310.3147</v>
      </c>
      <c r="C26" s="2" t="s">
        <v>39</v>
      </c>
      <c r="D26" s="3"/>
      <c r="E26" s="3"/>
      <c r="F26" s="3"/>
    </row>
    <row r="27" ht="15.0" customHeight="1">
      <c r="A27" s="9"/>
      <c r="B27" s="11"/>
      <c r="C27" s="2"/>
      <c r="D27" s="3"/>
      <c r="E27" s="3"/>
      <c r="F27" s="3"/>
    </row>
    <row r="28" ht="15.0" customHeight="1">
      <c r="A28" s="13" t="s">
        <v>40</v>
      </c>
      <c r="B28" s="13">
        <f>(B22+B23)*0.27</f>
        <v>121983.9921</v>
      </c>
      <c r="C28" s="13" t="s">
        <v>41</v>
      </c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0" customHeight="1">
      <c r="A31" s="14" t="s">
        <v>42</v>
      </c>
      <c r="B31" s="3"/>
      <c r="C31" s="3"/>
      <c r="D31" s="3"/>
      <c r="E31" s="3"/>
      <c r="F31" s="3"/>
    </row>
    <row r="32" ht="15.0" customHeight="1">
      <c r="A32" s="15" t="s">
        <v>43</v>
      </c>
    </row>
    <row r="33" ht="15.0" customHeight="1">
      <c r="A33" s="15" t="s">
        <v>44</v>
      </c>
    </row>
    <row r="34" ht="15.0" customHeight="1">
      <c r="A34" s="15" t="s">
        <v>45</v>
      </c>
    </row>
    <row r="35" ht="15.0" customHeight="1">
      <c r="A35" s="15" t="s">
        <v>46</v>
      </c>
    </row>
    <row r="36" ht="15.0" customHeight="1">
      <c r="A36" s="15" t="s">
        <v>47</v>
      </c>
    </row>
    <row r="37" ht="15.0" customHeight="1">
      <c r="A37" s="15" t="s">
        <v>48</v>
      </c>
    </row>
    <row r="38" ht="15.0" customHeight="1">
      <c r="A38" s="15" t="s">
        <v>49</v>
      </c>
    </row>
    <row r="39" ht="15.0" customHeight="1">
      <c r="A39" s="15" t="s">
        <v>50</v>
      </c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2">
    <mergeCell ref="A1:F1"/>
    <mergeCell ref="A2:F2"/>
    <mergeCell ref="A3:F3"/>
    <mergeCell ref="B6:F6"/>
    <mergeCell ref="B7:F7"/>
    <mergeCell ref="B8:F8"/>
    <mergeCell ref="B9:F9"/>
    <mergeCell ref="A32:F32"/>
    <mergeCell ref="A33:F33"/>
    <mergeCell ref="A34:F34"/>
    <mergeCell ref="A35:F35"/>
    <mergeCell ref="A36:F36"/>
    <mergeCell ref="A37:F37"/>
    <mergeCell ref="A38:F38"/>
    <mergeCell ref="A39:F39"/>
    <mergeCell ref="B10:F10"/>
    <mergeCell ref="B11:F11"/>
    <mergeCell ref="B12:F12"/>
    <mergeCell ref="B13:F13"/>
    <mergeCell ref="B14:F14"/>
    <mergeCell ref="B15:F15"/>
    <mergeCell ref="B16:F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60.0"/>
    <col customWidth="1" min="4" max="4" width="16.0"/>
    <col customWidth="1" min="5" max="5" width="25.0"/>
    <col customWidth="1" min="6" max="6" width="30.0"/>
    <col customWidth="1" min="7" max="26" width="8.71"/>
  </cols>
  <sheetData>
    <row r="1" ht="19.5" customHeight="1">
      <c r="A1" s="1" t="s">
        <v>51</v>
      </c>
    </row>
    <row r="2" ht="15.0" customHeight="1">
      <c r="A2" s="12" t="s">
        <v>52</v>
      </c>
      <c r="B2" s="16">
        <f>SUM(D5:D28)</f>
        <v>515904.84</v>
      </c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15.0" customHeight="1">
      <c r="A4" s="17" t="s">
        <v>53</v>
      </c>
      <c r="B4" s="17" t="s">
        <v>54</v>
      </c>
      <c r="C4" s="17" t="s">
        <v>55</v>
      </c>
      <c r="D4" s="17" t="s">
        <v>56</v>
      </c>
      <c r="E4" s="17" t="s">
        <v>57</v>
      </c>
      <c r="F4" s="17" t="s">
        <v>58</v>
      </c>
    </row>
    <row r="5" ht="15.0" customHeight="1">
      <c r="A5" s="18">
        <v>45733.0</v>
      </c>
      <c r="B5" s="19" t="s">
        <v>59</v>
      </c>
      <c r="C5" s="19" t="s">
        <v>60</v>
      </c>
      <c r="D5" s="20">
        <v>10000.0</v>
      </c>
      <c r="E5" s="19" t="s">
        <v>59</v>
      </c>
      <c r="F5" s="19" t="s">
        <v>61</v>
      </c>
    </row>
    <row r="6" ht="15.0" customHeight="1">
      <c r="A6" s="18">
        <v>45741.0</v>
      </c>
      <c r="B6" s="19" t="s">
        <v>62</v>
      </c>
      <c r="C6" s="19" t="s">
        <v>63</v>
      </c>
      <c r="D6" s="20">
        <v>1881.15</v>
      </c>
      <c r="E6" s="19" t="s">
        <v>62</v>
      </c>
      <c r="F6" s="19" t="s">
        <v>61</v>
      </c>
    </row>
    <row r="7" ht="15.0" customHeight="1">
      <c r="A7" s="18">
        <v>45748.0</v>
      </c>
      <c r="B7" s="19" t="s">
        <v>64</v>
      </c>
      <c r="C7" s="19" t="s">
        <v>65</v>
      </c>
      <c r="D7" s="20">
        <v>18000.0</v>
      </c>
      <c r="E7" s="19" t="s">
        <v>64</v>
      </c>
      <c r="F7" s="19" t="s">
        <v>61</v>
      </c>
    </row>
    <row r="8" ht="15.0" customHeight="1">
      <c r="A8" s="18">
        <v>45751.0</v>
      </c>
      <c r="B8" s="19" t="s">
        <v>59</v>
      </c>
      <c r="C8" s="19" t="s">
        <v>66</v>
      </c>
      <c r="D8" s="20">
        <v>5000.0</v>
      </c>
      <c r="E8" s="19" t="s">
        <v>59</v>
      </c>
      <c r="F8" s="19" t="s">
        <v>61</v>
      </c>
    </row>
    <row r="9" ht="15.0" customHeight="1">
      <c r="A9" s="18">
        <v>45755.0</v>
      </c>
      <c r="B9" s="19" t="s">
        <v>64</v>
      </c>
      <c r="C9" s="19" t="s">
        <v>67</v>
      </c>
      <c r="D9" s="20">
        <v>18020.0</v>
      </c>
      <c r="E9" s="19" t="s">
        <v>64</v>
      </c>
      <c r="F9" s="19" t="s">
        <v>61</v>
      </c>
    </row>
    <row r="10" ht="15.0" customHeight="1">
      <c r="A10" s="18">
        <v>45770.0</v>
      </c>
      <c r="B10" s="19" t="s">
        <v>62</v>
      </c>
      <c r="C10" s="19" t="s">
        <v>63</v>
      </c>
      <c r="D10" s="20">
        <v>4356.02</v>
      </c>
      <c r="E10" s="19" t="s">
        <v>62</v>
      </c>
      <c r="F10" s="19" t="s">
        <v>61</v>
      </c>
    </row>
    <row r="11" ht="15.0" customHeight="1">
      <c r="A11" s="18">
        <v>45777.0</v>
      </c>
      <c r="B11" s="19" t="s">
        <v>59</v>
      </c>
      <c r="C11" s="19" t="s">
        <v>68</v>
      </c>
      <c r="D11" s="20">
        <v>2000.0</v>
      </c>
      <c r="E11" s="19" t="s">
        <v>59</v>
      </c>
      <c r="F11" s="19" t="s">
        <v>61</v>
      </c>
    </row>
    <row r="12" ht="15.0" customHeight="1">
      <c r="A12" s="18">
        <v>45782.0</v>
      </c>
      <c r="B12" s="19" t="s">
        <v>69</v>
      </c>
      <c r="C12" s="19" t="s">
        <v>70</v>
      </c>
      <c r="D12" s="20">
        <v>70400.0</v>
      </c>
      <c r="E12" s="19" t="s">
        <v>69</v>
      </c>
      <c r="F12" s="19" t="s">
        <v>61</v>
      </c>
    </row>
    <row r="13" ht="15.0" customHeight="1">
      <c r="A13" s="18">
        <v>45800.0</v>
      </c>
      <c r="B13" s="19" t="s">
        <v>62</v>
      </c>
      <c r="C13" s="19" t="s">
        <v>63</v>
      </c>
      <c r="D13" s="20">
        <v>1489.95</v>
      </c>
      <c r="E13" s="19" t="s">
        <v>62</v>
      </c>
      <c r="F13" s="19" t="s">
        <v>61</v>
      </c>
    </row>
    <row r="14" ht="15.0" customHeight="1">
      <c r="A14" s="18">
        <v>45838.0</v>
      </c>
      <c r="B14" s="19" t="s">
        <v>59</v>
      </c>
      <c r="C14" s="19" t="s">
        <v>66</v>
      </c>
      <c r="D14" s="20">
        <v>2350.0</v>
      </c>
      <c r="E14" s="19" t="s">
        <v>59</v>
      </c>
      <c r="F14" s="19" t="s">
        <v>61</v>
      </c>
    </row>
    <row r="15" ht="15.0" customHeight="1">
      <c r="A15" s="18">
        <v>45848.0</v>
      </c>
      <c r="B15" s="19" t="s">
        <v>64</v>
      </c>
      <c r="C15" s="19" t="s">
        <v>71</v>
      </c>
      <c r="D15" s="20">
        <v>74000.0</v>
      </c>
      <c r="E15" s="19" t="s">
        <v>64</v>
      </c>
      <c r="F15" s="19" t="s">
        <v>61</v>
      </c>
    </row>
    <row r="16" ht="15.0" customHeight="1">
      <c r="A16" s="18">
        <v>45861.0</v>
      </c>
      <c r="B16" s="19" t="s">
        <v>62</v>
      </c>
      <c r="C16" s="19" t="s">
        <v>63</v>
      </c>
      <c r="D16" s="20">
        <v>1987.09</v>
      </c>
      <c r="E16" s="19" t="s">
        <v>62</v>
      </c>
      <c r="F16" s="19" t="s">
        <v>61</v>
      </c>
    </row>
    <row r="17" ht="15.0" customHeight="1">
      <c r="A17" s="18">
        <v>45881.0</v>
      </c>
      <c r="B17" s="19" t="s">
        <v>64</v>
      </c>
      <c r="C17" s="19" t="s">
        <v>72</v>
      </c>
      <c r="D17" s="20">
        <v>81200.0</v>
      </c>
      <c r="E17" s="19" t="s">
        <v>64</v>
      </c>
      <c r="F17" s="19" t="s">
        <v>61</v>
      </c>
    </row>
    <row r="18" ht="15.0" customHeight="1">
      <c r="A18" s="18">
        <v>45892.0</v>
      </c>
      <c r="B18" s="19" t="s">
        <v>62</v>
      </c>
      <c r="C18" s="19" t="s">
        <v>63</v>
      </c>
      <c r="D18" s="20">
        <v>1163.24</v>
      </c>
      <c r="E18" s="19" t="s">
        <v>62</v>
      </c>
      <c r="F18" s="19" t="s">
        <v>61</v>
      </c>
    </row>
    <row r="19" ht="15.0" customHeight="1">
      <c r="A19" s="18">
        <v>45918.0</v>
      </c>
      <c r="B19" s="19" t="s">
        <v>64</v>
      </c>
      <c r="C19" s="19" t="s">
        <v>73</v>
      </c>
      <c r="D19" s="20">
        <v>56000.0</v>
      </c>
      <c r="E19" s="19" t="s">
        <v>64</v>
      </c>
      <c r="F19" s="19" t="s">
        <v>61</v>
      </c>
    </row>
    <row r="20" ht="15.0" customHeight="1">
      <c r="A20" s="18">
        <v>45953.0</v>
      </c>
      <c r="B20" s="19" t="s">
        <v>69</v>
      </c>
      <c r="C20" s="19" t="s">
        <v>74</v>
      </c>
      <c r="D20" s="20">
        <v>1793.56</v>
      </c>
      <c r="E20" s="19" t="s">
        <v>69</v>
      </c>
      <c r="F20" s="19" t="s">
        <v>61</v>
      </c>
    </row>
    <row r="21" ht="15.0" customHeight="1">
      <c r="A21" s="18">
        <v>45961.0</v>
      </c>
      <c r="B21" s="19" t="s">
        <v>59</v>
      </c>
      <c r="C21" s="19" t="s">
        <v>75</v>
      </c>
      <c r="D21" s="20">
        <v>2500.0</v>
      </c>
      <c r="E21" s="19" t="s">
        <v>59</v>
      </c>
      <c r="F21" s="19" t="s">
        <v>61</v>
      </c>
    </row>
    <row r="22" ht="15.0" customHeight="1">
      <c r="A22" s="18">
        <v>45972.0</v>
      </c>
      <c r="B22" s="19" t="s">
        <v>64</v>
      </c>
      <c r="C22" s="19" t="s">
        <v>76</v>
      </c>
      <c r="D22" s="20">
        <v>24080.0</v>
      </c>
      <c r="E22" s="19" t="s">
        <v>64</v>
      </c>
      <c r="F22" s="19" t="s">
        <v>61</v>
      </c>
    </row>
    <row r="23" ht="15.0" customHeight="1">
      <c r="A23" s="18">
        <v>45986.0</v>
      </c>
      <c r="B23" s="19" t="s">
        <v>62</v>
      </c>
      <c r="C23" s="19" t="s">
        <v>63</v>
      </c>
      <c r="D23" s="20">
        <v>1511.72</v>
      </c>
      <c r="E23" s="19" t="s">
        <v>62</v>
      </c>
      <c r="F23" s="19" t="s">
        <v>61</v>
      </c>
    </row>
    <row r="24" ht="15.0" customHeight="1">
      <c r="A24" s="18">
        <v>46010.0</v>
      </c>
      <c r="B24" s="19" t="s">
        <v>64</v>
      </c>
      <c r="C24" s="19" t="s">
        <v>77</v>
      </c>
      <c r="D24" s="20">
        <v>90730.0</v>
      </c>
      <c r="E24" s="19" t="s">
        <v>64</v>
      </c>
      <c r="F24" s="19" t="s">
        <v>61</v>
      </c>
    </row>
    <row r="25" ht="15.0" customHeight="1">
      <c r="A25" s="18">
        <v>46014.0</v>
      </c>
      <c r="B25" s="19" t="s">
        <v>62</v>
      </c>
      <c r="C25" s="19" t="s">
        <v>63</v>
      </c>
      <c r="D25" s="20">
        <v>1496.31</v>
      </c>
      <c r="E25" s="19" t="s">
        <v>62</v>
      </c>
      <c r="F25" s="19" t="s">
        <v>61</v>
      </c>
    </row>
    <row r="26" ht="15.0" customHeight="1">
      <c r="A26" s="18">
        <v>46042.0</v>
      </c>
      <c r="B26" s="19" t="s">
        <v>64</v>
      </c>
      <c r="C26" s="19" t="s">
        <v>78</v>
      </c>
      <c r="D26" s="20">
        <v>40850.0</v>
      </c>
      <c r="E26" s="19" t="s">
        <v>64</v>
      </c>
      <c r="F26" s="19" t="s">
        <v>61</v>
      </c>
    </row>
    <row r="27" ht="15.0" customHeight="1">
      <c r="A27" s="18">
        <v>46045.0</v>
      </c>
      <c r="B27" s="19" t="s">
        <v>62</v>
      </c>
      <c r="C27" s="19" t="s">
        <v>63</v>
      </c>
      <c r="D27" s="20">
        <v>1095.8</v>
      </c>
      <c r="E27" s="19" t="s">
        <v>62</v>
      </c>
      <c r="F27" s="19" t="s">
        <v>61</v>
      </c>
    </row>
    <row r="28" ht="15.0" customHeight="1">
      <c r="A28" s="18">
        <v>46080.0</v>
      </c>
      <c r="B28" s="19" t="s">
        <v>69</v>
      </c>
      <c r="C28" s="19" t="s">
        <v>79</v>
      </c>
      <c r="D28" s="20">
        <v>4000.0</v>
      </c>
      <c r="E28" s="19" t="s">
        <v>69</v>
      </c>
      <c r="F28" s="19" t="s">
        <v>61</v>
      </c>
    </row>
    <row r="29" ht="15.0" customHeight="1">
      <c r="A29" s="3"/>
      <c r="B29" s="3"/>
      <c r="C29" s="12" t="s">
        <v>80</v>
      </c>
      <c r="D29" s="21">
        <f>SUM(D5:D28)</f>
        <v>515904.84</v>
      </c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22.0"/>
    <col customWidth="1" min="4" max="4" width="28.0"/>
    <col customWidth="1" min="5" max="5" width="14.0"/>
    <col customWidth="1" min="6" max="6" width="12.0"/>
    <col customWidth="1" min="7" max="7" width="11.86"/>
    <col customWidth="1" min="8" max="8" width="14.0"/>
    <col customWidth="1" min="9" max="9" width="22.0"/>
    <col customWidth="1" min="10" max="26" width="8.71"/>
  </cols>
  <sheetData>
    <row r="1" ht="19.5" customHeight="1">
      <c r="A1" s="22" t="s">
        <v>81</v>
      </c>
    </row>
    <row r="2" ht="15.0" customHeight="1">
      <c r="A2" s="2" t="s">
        <v>82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 ht="26.25" customHeight="1">
      <c r="A4" s="23" t="s">
        <v>53</v>
      </c>
      <c r="B4" s="23" t="s">
        <v>55</v>
      </c>
      <c r="C4" s="23" t="s">
        <v>83</v>
      </c>
      <c r="D4" s="23" t="s">
        <v>84</v>
      </c>
      <c r="E4" s="23" t="s">
        <v>56</v>
      </c>
      <c r="F4" s="23" t="s">
        <v>85</v>
      </c>
      <c r="G4" s="23" t="s">
        <v>86</v>
      </c>
      <c r="H4" s="23" t="s">
        <v>87</v>
      </c>
      <c r="I4" s="23" t="s">
        <v>88</v>
      </c>
    </row>
    <row r="5" ht="34.5" customHeight="1">
      <c r="A5" s="24">
        <v>45717.0</v>
      </c>
      <c r="B5" s="19" t="s">
        <v>89</v>
      </c>
      <c r="C5" s="19" t="s">
        <v>90</v>
      </c>
      <c r="D5" s="19" t="s">
        <v>91</v>
      </c>
      <c r="E5" s="20">
        <v>200.0</v>
      </c>
      <c r="F5" s="20">
        <v>0.0</v>
      </c>
      <c r="G5" s="25">
        <v>1.0</v>
      </c>
      <c r="H5" s="20">
        <f t="shared" ref="H5:H354" si="1">(E5+F5)*G5</f>
        <v>200</v>
      </c>
      <c r="I5" s="19" t="s">
        <v>92</v>
      </c>
    </row>
    <row r="6" ht="15.0" customHeight="1">
      <c r="A6" s="26">
        <v>45741.0</v>
      </c>
      <c r="B6" s="27" t="s">
        <v>93</v>
      </c>
      <c r="C6" s="27" t="s">
        <v>94</v>
      </c>
      <c r="D6" s="27" t="s">
        <v>94</v>
      </c>
      <c r="E6" s="28">
        <v>2500.0</v>
      </c>
      <c r="F6" s="28">
        <v>7.5</v>
      </c>
      <c r="G6" s="29">
        <v>0.0</v>
      </c>
      <c r="H6" s="28">
        <f t="shared" si="1"/>
        <v>0</v>
      </c>
      <c r="I6" s="27" t="s">
        <v>92</v>
      </c>
    </row>
    <row r="7" ht="15.0" customHeight="1">
      <c r="A7" s="24">
        <v>45741.0</v>
      </c>
      <c r="B7" s="19" t="s">
        <v>95</v>
      </c>
      <c r="C7" s="19" t="s">
        <v>90</v>
      </c>
      <c r="D7" s="19" t="s">
        <v>91</v>
      </c>
      <c r="E7" s="20">
        <v>0.0</v>
      </c>
      <c r="F7" s="20">
        <v>1.25</v>
      </c>
      <c r="G7" s="25">
        <v>1.0</v>
      </c>
      <c r="H7" s="20">
        <f t="shared" si="1"/>
        <v>1.25</v>
      </c>
      <c r="I7" s="19"/>
    </row>
    <row r="8" ht="15.0" customHeight="1">
      <c r="A8" s="24">
        <v>45741.0</v>
      </c>
      <c r="B8" s="19" t="s">
        <v>96</v>
      </c>
      <c r="C8" s="19" t="s">
        <v>90</v>
      </c>
      <c r="D8" s="19" t="s">
        <v>91</v>
      </c>
      <c r="E8" s="20">
        <v>0.0</v>
      </c>
      <c r="F8" s="20">
        <v>1.25</v>
      </c>
      <c r="G8" s="25">
        <v>1.0</v>
      </c>
      <c r="H8" s="20">
        <f t="shared" si="1"/>
        <v>1.25</v>
      </c>
      <c r="I8" s="19"/>
    </row>
    <row r="9" ht="15.0" customHeight="1">
      <c r="A9" s="26">
        <v>45744.0</v>
      </c>
      <c r="B9" s="27" t="s">
        <v>97</v>
      </c>
      <c r="C9" s="27" t="s">
        <v>94</v>
      </c>
      <c r="D9" s="27" t="s">
        <v>94</v>
      </c>
      <c r="E9" s="28">
        <v>5000.0</v>
      </c>
      <c r="F9" s="28">
        <v>0.0</v>
      </c>
      <c r="G9" s="29">
        <v>0.0</v>
      </c>
      <c r="H9" s="28">
        <f t="shared" si="1"/>
        <v>0</v>
      </c>
      <c r="I9" s="27" t="s">
        <v>92</v>
      </c>
    </row>
    <row r="10" ht="15.0" customHeight="1">
      <c r="A10" s="24">
        <v>45744.0</v>
      </c>
      <c r="B10" s="19" t="s">
        <v>95</v>
      </c>
      <c r="C10" s="19" t="s">
        <v>90</v>
      </c>
      <c r="D10" s="19" t="s">
        <v>91</v>
      </c>
      <c r="E10" s="20">
        <v>0.0</v>
      </c>
      <c r="F10" s="20">
        <v>1.25</v>
      </c>
      <c r="G10" s="25">
        <v>1.0</v>
      </c>
      <c r="H10" s="20">
        <f t="shared" si="1"/>
        <v>1.25</v>
      </c>
      <c r="I10" s="19"/>
    </row>
    <row r="11" ht="15.0" customHeight="1">
      <c r="A11" s="24">
        <v>45747.0</v>
      </c>
      <c r="B11" s="19" t="s">
        <v>98</v>
      </c>
      <c r="C11" s="19" t="s">
        <v>99</v>
      </c>
      <c r="D11" s="19" t="s">
        <v>100</v>
      </c>
      <c r="E11" s="20">
        <v>1000.0</v>
      </c>
      <c r="F11" s="20">
        <v>0.0</v>
      </c>
      <c r="G11" s="25">
        <v>1.0</v>
      </c>
      <c r="H11" s="20">
        <f t="shared" si="1"/>
        <v>1000</v>
      </c>
      <c r="I11" s="19" t="s">
        <v>92</v>
      </c>
    </row>
    <row r="12" ht="15.0" customHeight="1">
      <c r="A12" s="24">
        <v>45747.0</v>
      </c>
      <c r="B12" s="19" t="s">
        <v>95</v>
      </c>
      <c r="C12" s="19" t="s">
        <v>90</v>
      </c>
      <c r="D12" s="19" t="s">
        <v>91</v>
      </c>
      <c r="E12" s="20">
        <v>0.0</v>
      </c>
      <c r="F12" s="20">
        <v>1.25</v>
      </c>
      <c r="G12" s="25">
        <v>1.0</v>
      </c>
      <c r="H12" s="20">
        <f t="shared" si="1"/>
        <v>1.25</v>
      </c>
      <c r="I12" s="19"/>
    </row>
    <row r="13" ht="15.0" customHeight="1">
      <c r="A13" s="24">
        <v>45748.0</v>
      </c>
      <c r="B13" s="19" t="s">
        <v>101</v>
      </c>
      <c r="C13" s="19" t="s">
        <v>90</v>
      </c>
      <c r="D13" s="19" t="s">
        <v>91</v>
      </c>
      <c r="E13" s="20">
        <v>200.0</v>
      </c>
      <c r="F13" s="20">
        <v>0.0</v>
      </c>
      <c r="G13" s="25">
        <v>1.0</v>
      </c>
      <c r="H13" s="20">
        <f t="shared" si="1"/>
        <v>200</v>
      </c>
      <c r="I13" s="19" t="s">
        <v>92</v>
      </c>
    </row>
    <row r="14" ht="15.0" customHeight="1">
      <c r="A14" s="24">
        <v>45748.0</v>
      </c>
      <c r="B14" s="19" t="s">
        <v>102</v>
      </c>
      <c r="C14" s="19" t="s">
        <v>90</v>
      </c>
      <c r="D14" s="19" t="s">
        <v>91</v>
      </c>
      <c r="E14" s="20">
        <v>15.0</v>
      </c>
      <c r="F14" s="20">
        <v>0.0</v>
      </c>
      <c r="G14" s="25">
        <v>1.0</v>
      </c>
      <c r="H14" s="20">
        <f t="shared" si="1"/>
        <v>15</v>
      </c>
      <c r="I14" s="19" t="s">
        <v>92</v>
      </c>
    </row>
    <row r="15" ht="15.0" customHeight="1">
      <c r="A15" s="24">
        <v>45757.0</v>
      </c>
      <c r="B15" s="19" t="s">
        <v>103</v>
      </c>
      <c r="C15" s="19" t="s">
        <v>104</v>
      </c>
      <c r="D15" s="19" t="s">
        <v>105</v>
      </c>
      <c r="E15" s="20">
        <v>3000.0</v>
      </c>
      <c r="F15" s="20">
        <v>7.5</v>
      </c>
      <c r="G15" s="25">
        <v>1.0</v>
      </c>
      <c r="H15" s="20">
        <f t="shared" si="1"/>
        <v>3007.5</v>
      </c>
      <c r="I15" s="19" t="s">
        <v>92</v>
      </c>
    </row>
    <row r="16" ht="15.0" customHeight="1">
      <c r="A16" s="24">
        <v>45757.0</v>
      </c>
      <c r="B16" s="19" t="s">
        <v>95</v>
      </c>
      <c r="C16" s="19" t="s">
        <v>90</v>
      </c>
      <c r="D16" s="19" t="s">
        <v>91</v>
      </c>
      <c r="E16" s="20">
        <v>0.0</v>
      </c>
      <c r="F16" s="20">
        <v>1.25</v>
      </c>
      <c r="G16" s="25">
        <v>1.0</v>
      </c>
      <c r="H16" s="20">
        <f t="shared" si="1"/>
        <v>1.25</v>
      </c>
      <c r="I16" s="19"/>
    </row>
    <row r="17" ht="15.0" customHeight="1">
      <c r="A17" s="24">
        <v>45757.0</v>
      </c>
      <c r="B17" s="19" t="s">
        <v>96</v>
      </c>
      <c r="C17" s="19" t="s">
        <v>90</v>
      </c>
      <c r="D17" s="19" t="s">
        <v>91</v>
      </c>
      <c r="E17" s="20">
        <v>0.0</v>
      </c>
      <c r="F17" s="20">
        <v>1.25</v>
      </c>
      <c r="G17" s="25">
        <v>1.0</v>
      </c>
      <c r="H17" s="20">
        <f t="shared" si="1"/>
        <v>1.25</v>
      </c>
      <c r="I17" s="19"/>
    </row>
    <row r="18" ht="15.0" customHeight="1">
      <c r="A18" s="24">
        <v>45757.0</v>
      </c>
      <c r="B18" s="19" t="s">
        <v>103</v>
      </c>
      <c r="C18" s="19" t="s">
        <v>104</v>
      </c>
      <c r="D18" s="19" t="s">
        <v>105</v>
      </c>
      <c r="E18" s="20">
        <v>3000.0</v>
      </c>
      <c r="F18" s="20">
        <v>7.5</v>
      </c>
      <c r="G18" s="25">
        <v>1.0</v>
      </c>
      <c r="H18" s="20">
        <f t="shared" si="1"/>
        <v>3007.5</v>
      </c>
      <c r="I18" s="19" t="s">
        <v>92</v>
      </c>
    </row>
    <row r="19" ht="15.0" customHeight="1">
      <c r="A19" s="24">
        <v>45757.0</v>
      </c>
      <c r="B19" s="19" t="s">
        <v>95</v>
      </c>
      <c r="C19" s="19" t="s">
        <v>90</v>
      </c>
      <c r="D19" s="19" t="s">
        <v>91</v>
      </c>
      <c r="E19" s="20">
        <v>0.0</v>
      </c>
      <c r="F19" s="20">
        <v>1.25</v>
      </c>
      <c r="G19" s="25">
        <v>1.0</v>
      </c>
      <c r="H19" s="20">
        <f t="shared" si="1"/>
        <v>1.25</v>
      </c>
      <c r="I19" s="19"/>
    </row>
    <row r="20" ht="15.0" customHeight="1">
      <c r="A20" s="24">
        <v>45757.0</v>
      </c>
      <c r="B20" s="19" t="s">
        <v>96</v>
      </c>
      <c r="C20" s="19" t="s">
        <v>90</v>
      </c>
      <c r="D20" s="19" t="s">
        <v>91</v>
      </c>
      <c r="E20" s="20">
        <v>0.0</v>
      </c>
      <c r="F20" s="20">
        <v>1.25</v>
      </c>
      <c r="G20" s="25">
        <v>1.0</v>
      </c>
      <c r="H20" s="20">
        <f t="shared" si="1"/>
        <v>1.25</v>
      </c>
      <c r="I20" s="19"/>
    </row>
    <row r="21" ht="15.0" customHeight="1">
      <c r="A21" s="24">
        <v>45757.0</v>
      </c>
      <c r="B21" s="19" t="s">
        <v>106</v>
      </c>
      <c r="C21" s="19" t="s">
        <v>104</v>
      </c>
      <c r="D21" s="19" t="s">
        <v>105</v>
      </c>
      <c r="E21" s="20">
        <v>3000.0</v>
      </c>
      <c r="F21" s="20">
        <v>7.5</v>
      </c>
      <c r="G21" s="25">
        <v>1.0</v>
      </c>
      <c r="H21" s="20">
        <f t="shared" si="1"/>
        <v>3007.5</v>
      </c>
      <c r="I21" s="19" t="s">
        <v>92</v>
      </c>
    </row>
    <row r="22" ht="15.0" customHeight="1">
      <c r="A22" s="24">
        <v>45757.0</v>
      </c>
      <c r="B22" s="19" t="s">
        <v>95</v>
      </c>
      <c r="C22" s="19" t="s">
        <v>90</v>
      </c>
      <c r="D22" s="19" t="s">
        <v>91</v>
      </c>
      <c r="E22" s="20">
        <v>0.0</v>
      </c>
      <c r="F22" s="20">
        <v>1.25</v>
      </c>
      <c r="G22" s="25">
        <v>1.0</v>
      </c>
      <c r="H22" s="20">
        <f t="shared" si="1"/>
        <v>1.25</v>
      </c>
      <c r="I22" s="19"/>
    </row>
    <row r="23" ht="15.0" customHeight="1">
      <c r="A23" s="24">
        <v>45757.0</v>
      </c>
      <c r="B23" s="19" t="s">
        <v>96</v>
      </c>
      <c r="C23" s="19" t="s">
        <v>90</v>
      </c>
      <c r="D23" s="19" t="s">
        <v>91</v>
      </c>
      <c r="E23" s="20">
        <v>0.0</v>
      </c>
      <c r="F23" s="20">
        <v>1.25</v>
      </c>
      <c r="G23" s="25">
        <v>1.0</v>
      </c>
      <c r="H23" s="20">
        <f t="shared" si="1"/>
        <v>1.25</v>
      </c>
      <c r="I23" s="19"/>
    </row>
    <row r="24" ht="15.0" customHeight="1">
      <c r="A24" s="24">
        <v>45757.0</v>
      </c>
      <c r="B24" s="19" t="s">
        <v>106</v>
      </c>
      <c r="C24" s="19" t="s">
        <v>104</v>
      </c>
      <c r="D24" s="19" t="s">
        <v>105</v>
      </c>
      <c r="E24" s="20">
        <v>1000.0</v>
      </c>
      <c r="F24" s="20">
        <v>7.5</v>
      </c>
      <c r="G24" s="25">
        <v>1.0</v>
      </c>
      <c r="H24" s="20">
        <f t="shared" si="1"/>
        <v>1007.5</v>
      </c>
      <c r="I24" s="19" t="s">
        <v>92</v>
      </c>
    </row>
    <row r="25" ht="15.0" customHeight="1">
      <c r="A25" s="24">
        <v>45757.0</v>
      </c>
      <c r="B25" s="19" t="s">
        <v>95</v>
      </c>
      <c r="C25" s="19" t="s">
        <v>90</v>
      </c>
      <c r="D25" s="19" t="s">
        <v>91</v>
      </c>
      <c r="E25" s="20">
        <v>0.0</v>
      </c>
      <c r="F25" s="20">
        <v>1.25</v>
      </c>
      <c r="G25" s="25">
        <v>1.0</v>
      </c>
      <c r="H25" s="20">
        <f t="shared" si="1"/>
        <v>1.25</v>
      </c>
      <c r="I25" s="19"/>
    </row>
    <row r="26" ht="15.0" customHeight="1">
      <c r="A26" s="24">
        <v>45757.0</v>
      </c>
      <c r="B26" s="19" t="s">
        <v>96</v>
      </c>
      <c r="C26" s="19" t="s">
        <v>90</v>
      </c>
      <c r="D26" s="19" t="s">
        <v>91</v>
      </c>
      <c r="E26" s="20">
        <v>0.0</v>
      </c>
      <c r="F26" s="20">
        <v>1.25</v>
      </c>
      <c r="G26" s="25">
        <v>1.0</v>
      </c>
      <c r="H26" s="20">
        <f t="shared" si="1"/>
        <v>1.25</v>
      </c>
      <c r="I26" s="19"/>
    </row>
    <row r="27" ht="15.0" customHeight="1">
      <c r="A27" s="24">
        <v>45758.0</v>
      </c>
      <c r="B27" s="19" t="s">
        <v>106</v>
      </c>
      <c r="C27" s="19" t="s">
        <v>104</v>
      </c>
      <c r="D27" s="19" t="s">
        <v>105</v>
      </c>
      <c r="E27" s="20">
        <v>3000.0</v>
      </c>
      <c r="F27" s="20">
        <v>7.5</v>
      </c>
      <c r="G27" s="25">
        <v>1.0</v>
      </c>
      <c r="H27" s="20">
        <f t="shared" si="1"/>
        <v>3007.5</v>
      </c>
      <c r="I27" s="19" t="s">
        <v>92</v>
      </c>
    </row>
    <row r="28" ht="15.0" customHeight="1">
      <c r="A28" s="24">
        <v>45758.0</v>
      </c>
      <c r="B28" s="19" t="s">
        <v>95</v>
      </c>
      <c r="C28" s="19" t="s">
        <v>90</v>
      </c>
      <c r="D28" s="19" t="s">
        <v>91</v>
      </c>
      <c r="E28" s="20">
        <v>0.0</v>
      </c>
      <c r="F28" s="20">
        <v>1.25</v>
      </c>
      <c r="G28" s="25">
        <v>1.0</v>
      </c>
      <c r="H28" s="20">
        <f t="shared" si="1"/>
        <v>1.25</v>
      </c>
      <c r="I28" s="19"/>
    </row>
    <row r="29" ht="15.0" customHeight="1">
      <c r="A29" s="24">
        <v>45758.0</v>
      </c>
      <c r="B29" s="19" t="s">
        <v>96</v>
      </c>
      <c r="C29" s="19" t="s">
        <v>90</v>
      </c>
      <c r="D29" s="19" t="s">
        <v>91</v>
      </c>
      <c r="E29" s="20">
        <v>0.0</v>
      </c>
      <c r="F29" s="20">
        <v>1.25</v>
      </c>
      <c r="G29" s="25">
        <v>1.0</v>
      </c>
      <c r="H29" s="20">
        <f t="shared" si="1"/>
        <v>1.25</v>
      </c>
      <c r="I29" s="19"/>
    </row>
    <row r="30" ht="15.0" customHeight="1">
      <c r="A30" s="24">
        <v>45758.0</v>
      </c>
      <c r="B30" s="19" t="s">
        <v>107</v>
      </c>
      <c r="C30" s="19" t="s">
        <v>108</v>
      </c>
      <c r="D30" s="19" t="s">
        <v>109</v>
      </c>
      <c r="E30" s="20">
        <v>1000.0</v>
      </c>
      <c r="F30" s="20">
        <v>7.5</v>
      </c>
      <c r="G30" s="25">
        <v>0.5</v>
      </c>
      <c r="H30" s="20">
        <f t="shared" si="1"/>
        <v>503.75</v>
      </c>
      <c r="I30" s="19" t="s">
        <v>92</v>
      </c>
    </row>
    <row r="31" ht="15.0" customHeight="1">
      <c r="A31" s="24">
        <v>45758.0</v>
      </c>
      <c r="B31" s="19" t="s">
        <v>95</v>
      </c>
      <c r="C31" s="19" t="s">
        <v>90</v>
      </c>
      <c r="D31" s="19" t="s">
        <v>91</v>
      </c>
      <c r="E31" s="20">
        <v>0.0</v>
      </c>
      <c r="F31" s="20">
        <v>1.25</v>
      </c>
      <c r="G31" s="25">
        <v>1.0</v>
      </c>
      <c r="H31" s="20">
        <f t="shared" si="1"/>
        <v>1.25</v>
      </c>
      <c r="I31" s="19"/>
    </row>
    <row r="32" ht="15.0" customHeight="1">
      <c r="A32" s="24">
        <v>45758.0</v>
      </c>
      <c r="B32" s="19" t="s">
        <v>96</v>
      </c>
      <c r="C32" s="19" t="s">
        <v>90</v>
      </c>
      <c r="D32" s="19" t="s">
        <v>91</v>
      </c>
      <c r="E32" s="20">
        <v>0.0</v>
      </c>
      <c r="F32" s="20">
        <v>1.25</v>
      </c>
      <c r="G32" s="25">
        <v>1.0</v>
      </c>
      <c r="H32" s="20">
        <f t="shared" si="1"/>
        <v>1.25</v>
      </c>
      <c r="I32" s="19"/>
    </row>
    <row r="33" ht="15.0" customHeight="1">
      <c r="A33" s="24">
        <v>45759.0</v>
      </c>
      <c r="B33" s="19" t="s">
        <v>110</v>
      </c>
      <c r="C33" s="19" t="s">
        <v>111</v>
      </c>
      <c r="D33" s="19" t="s">
        <v>112</v>
      </c>
      <c r="E33" s="20">
        <v>3000.0</v>
      </c>
      <c r="F33" s="20">
        <v>7.5</v>
      </c>
      <c r="G33" s="25">
        <v>1.0</v>
      </c>
      <c r="H33" s="20">
        <f t="shared" si="1"/>
        <v>3007.5</v>
      </c>
      <c r="I33" s="19" t="s">
        <v>92</v>
      </c>
    </row>
    <row r="34" ht="15.0" customHeight="1">
      <c r="A34" s="24">
        <v>45759.0</v>
      </c>
      <c r="B34" s="19" t="s">
        <v>95</v>
      </c>
      <c r="C34" s="19" t="s">
        <v>90</v>
      </c>
      <c r="D34" s="19" t="s">
        <v>91</v>
      </c>
      <c r="E34" s="20">
        <v>0.0</v>
      </c>
      <c r="F34" s="20">
        <v>1.25</v>
      </c>
      <c r="G34" s="25">
        <v>1.0</v>
      </c>
      <c r="H34" s="20">
        <f t="shared" si="1"/>
        <v>1.25</v>
      </c>
      <c r="I34" s="19"/>
    </row>
    <row r="35" ht="15.0" customHeight="1">
      <c r="A35" s="24">
        <v>45759.0</v>
      </c>
      <c r="B35" s="19" t="s">
        <v>96</v>
      </c>
      <c r="C35" s="19" t="s">
        <v>90</v>
      </c>
      <c r="D35" s="19" t="s">
        <v>91</v>
      </c>
      <c r="E35" s="20">
        <v>0.0</v>
      </c>
      <c r="F35" s="20">
        <v>1.25</v>
      </c>
      <c r="G35" s="25">
        <v>1.0</v>
      </c>
      <c r="H35" s="20">
        <f t="shared" si="1"/>
        <v>1.25</v>
      </c>
      <c r="I35" s="19"/>
    </row>
    <row r="36" ht="15.0" customHeight="1">
      <c r="A36" s="24">
        <v>45759.0</v>
      </c>
      <c r="B36" s="19" t="s">
        <v>110</v>
      </c>
      <c r="C36" s="19" t="s">
        <v>111</v>
      </c>
      <c r="D36" s="19" t="s">
        <v>112</v>
      </c>
      <c r="E36" s="20">
        <v>1500.0</v>
      </c>
      <c r="F36" s="20">
        <v>7.5</v>
      </c>
      <c r="G36" s="25">
        <v>1.0</v>
      </c>
      <c r="H36" s="20">
        <f t="shared" si="1"/>
        <v>1507.5</v>
      </c>
      <c r="I36" s="19" t="s">
        <v>92</v>
      </c>
    </row>
    <row r="37" ht="15.0" customHeight="1">
      <c r="A37" s="24">
        <v>45759.0</v>
      </c>
      <c r="B37" s="19" t="s">
        <v>95</v>
      </c>
      <c r="C37" s="19" t="s">
        <v>90</v>
      </c>
      <c r="D37" s="19" t="s">
        <v>91</v>
      </c>
      <c r="E37" s="20">
        <v>0.0</v>
      </c>
      <c r="F37" s="20">
        <v>1.25</v>
      </c>
      <c r="G37" s="25">
        <v>1.0</v>
      </c>
      <c r="H37" s="20">
        <f t="shared" si="1"/>
        <v>1.25</v>
      </c>
      <c r="I37" s="19"/>
    </row>
    <row r="38" ht="15.0" customHeight="1">
      <c r="A38" s="24">
        <v>45759.0</v>
      </c>
      <c r="B38" s="19" t="s">
        <v>96</v>
      </c>
      <c r="C38" s="19" t="s">
        <v>90</v>
      </c>
      <c r="D38" s="19" t="s">
        <v>91</v>
      </c>
      <c r="E38" s="20">
        <v>0.0</v>
      </c>
      <c r="F38" s="20">
        <v>1.25</v>
      </c>
      <c r="G38" s="25">
        <v>1.0</v>
      </c>
      <c r="H38" s="20">
        <f t="shared" si="1"/>
        <v>1.25</v>
      </c>
      <c r="I38" s="19"/>
    </row>
    <row r="39" ht="15.0" customHeight="1">
      <c r="A39" s="24">
        <v>45762.0</v>
      </c>
      <c r="B39" s="19" t="s">
        <v>106</v>
      </c>
      <c r="C39" s="19" t="s">
        <v>104</v>
      </c>
      <c r="D39" s="19" t="s">
        <v>105</v>
      </c>
      <c r="E39" s="20">
        <v>3000.0</v>
      </c>
      <c r="F39" s="20">
        <v>7.5</v>
      </c>
      <c r="G39" s="25">
        <v>1.0</v>
      </c>
      <c r="H39" s="20">
        <f t="shared" si="1"/>
        <v>3007.5</v>
      </c>
      <c r="I39" s="19" t="s">
        <v>92</v>
      </c>
    </row>
    <row r="40" ht="15.0" customHeight="1">
      <c r="A40" s="24">
        <v>45762.0</v>
      </c>
      <c r="B40" s="19" t="s">
        <v>95</v>
      </c>
      <c r="C40" s="19" t="s">
        <v>90</v>
      </c>
      <c r="D40" s="19" t="s">
        <v>91</v>
      </c>
      <c r="E40" s="20">
        <v>0.0</v>
      </c>
      <c r="F40" s="20">
        <v>1.25</v>
      </c>
      <c r="G40" s="25">
        <v>1.0</v>
      </c>
      <c r="H40" s="20">
        <f t="shared" si="1"/>
        <v>1.25</v>
      </c>
      <c r="I40" s="19"/>
    </row>
    <row r="41" ht="15.0" customHeight="1">
      <c r="A41" s="24">
        <v>45762.0</v>
      </c>
      <c r="B41" s="19" t="s">
        <v>96</v>
      </c>
      <c r="C41" s="19" t="s">
        <v>90</v>
      </c>
      <c r="D41" s="19" t="s">
        <v>91</v>
      </c>
      <c r="E41" s="20">
        <v>0.0</v>
      </c>
      <c r="F41" s="20">
        <v>1.25</v>
      </c>
      <c r="G41" s="25">
        <v>1.0</v>
      </c>
      <c r="H41" s="20">
        <f t="shared" si="1"/>
        <v>1.25</v>
      </c>
      <c r="I41" s="19"/>
    </row>
    <row r="42" ht="15.0" customHeight="1">
      <c r="A42" s="24">
        <v>45762.0</v>
      </c>
      <c r="B42" s="19" t="s">
        <v>113</v>
      </c>
      <c r="C42" s="19" t="s">
        <v>104</v>
      </c>
      <c r="D42" s="19" t="s">
        <v>114</v>
      </c>
      <c r="E42" s="20">
        <v>3000.0</v>
      </c>
      <c r="F42" s="20">
        <v>7.5</v>
      </c>
      <c r="G42" s="25">
        <v>1.0</v>
      </c>
      <c r="H42" s="20">
        <f t="shared" si="1"/>
        <v>3007.5</v>
      </c>
      <c r="I42" s="19" t="s">
        <v>92</v>
      </c>
    </row>
    <row r="43" ht="15.0" customHeight="1">
      <c r="A43" s="24">
        <v>45762.0</v>
      </c>
      <c r="B43" s="19" t="s">
        <v>95</v>
      </c>
      <c r="C43" s="19" t="s">
        <v>90</v>
      </c>
      <c r="D43" s="19" t="s">
        <v>91</v>
      </c>
      <c r="E43" s="20">
        <v>0.0</v>
      </c>
      <c r="F43" s="20">
        <v>1.25</v>
      </c>
      <c r="G43" s="25">
        <v>1.0</v>
      </c>
      <c r="H43" s="20">
        <f t="shared" si="1"/>
        <v>1.25</v>
      </c>
      <c r="I43" s="19"/>
    </row>
    <row r="44" ht="15.0" customHeight="1">
      <c r="A44" s="24">
        <v>45762.0</v>
      </c>
      <c r="B44" s="19" t="s">
        <v>96</v>
      </c>
      <c r="C44" s="19" t="s">
        <v>90</v>
      </c>
      <c r="D44" s="19" t="s">
        <v>91</v>
      </c>
      <c r="E44" s="20">
        <v>0.0</v>
      </c>
      <c r="F44" s="20">
        <v>1.25</v>
      </c>
      <c r="G44" s="25">
        <v>1.0</v>
      </c>
      <c r="H44" s="20">
        <f t="shared" si="1"/>
        <v>1.25</v>
      </c>
      <c r="I44" s="19"/>
    </row>
    <row r="45" ht="15.0" customHeight="1">
      <c r="A45" s="24">
        <v>45762.0</v>
      </c>
      <c r="B45" s="19" t="s">
        <v>113</v>
      </c>
      <c r="C45" s="19" t="s">
        <v>104</v>
      </c>
      <c r="D45" s="19" t="s">
        <v>114</v>
      </c>
      <c r="E45" s="20">
        <v>3000.0</v>
      </c>
      <c r="F45" s="20">
        <v>7.5</v>
      </c>
      <c r="G45" s="25">
        <v>1.0</v>
      </c>
      <c r="H45" s="20">
        <f t="shared" si="1"/>
        <v>3007.5</v>
      </c>
      <c r="I45" s="19" t="s">
        <v>92</v>
      </c>
    </row>
    <row r="46" ht="15.0" customHeight="1">
      <c r="A46" s="24">
        <v>45762.0</v>
      </c>
      <c r="B46" s="19" t="s">
        <v>95</v>
      </c>
      <c r="C46" s="19" t="s">
        <v>90</v>
      </c>
      <c r="D46" s="19" t="s">
        <v>91</v>
      </c>
      <c r="E46" s="20">
        <v>0.0</v>
      </c>
      <c r="F46" s="20">
        <v>1.25</v>
      </c>
      <c r="G46" s="25">
        <v>1.0</v>
      </c>
      <c r="H46" s="20">
        <f t="shared" si="1"/>
        <v>1.25</v>
      </c>
      <c r="I46" s="19"/>
    </row>
    <row r="47" ht="15.0" customHeight="1">
      <c r="A47" s="24">
        <v>45762.0</v>
      </c>
      <c r="B47" s="19" t="s">
        <v>96</v>
      </c>
      <c r="C47" s="19" t="s">
        <v>90</v>
      </c>
      <c r="D47" s="19" t="s">
        <v>91</v>
      </c>
      <c r="E47" s="20">
        <v>0.0</v>
      </c>
      <c r="F47" s="20">
        <v>1.25</v>
      </c>
      <c r="G47" s="25">
        <v>1.0</v>
      </c>
      <c r="H47" s="20">
        <f t="shared" si="1"/>
        <v>1.25</v>
      </c>
      <c r="I47" s="19"/>
    </row>
    <row r="48" ht="15.0" customHeight="1">
      <c r="A48" s="24">
        <v>45762.0</v>
      </c>
      <c r="B48" s="19" t="s">
        <v>106</v>
      </c>
      <c r="C48" s="19" t="s">
        <v>104</v>
      </c>
      <c r="D48" s="19" t="s">
        <v>105</v>
      </c>
      <c r="E48" s="20">
        <v>2000.0</v>
      </c>
      <c r="F48" s="20">
        <v>7.5</v>
      </c>
      <c r="G48" s="25">
        <v>1.0</v>
      </c>
      <c r="H48" s="20">
        <f t="shared" si="1"/>
        <v>2007.5</v>
      </c>
      <c r="I48" s="19" t="s">
        <v>92</v>
      </c>
    </row>
    <row r="49" ht="15.0" customHeight="1">
      <c r="A49" s="24">
        <v>45762.0</v>
      </c>
      <c r="B49" s="19" t="s">
        <v>95</v>
      </c>
      <c r="C49" s="19" t="s">
        <v>90</v>
      </c>
      <c r="D49" s="19" t="s">
        <v>91</v>
      </c>
      <c r="E49" s="20">
        <v>0.0</v>
      </c>
      <c r="F49" s="20">
        <v>1.25</v>
      </c>
      <c r="G49" s="25">
        <v>1.0</v>
      </c>
      <c r="H49" s="20">
        <f t="shared" si="1"/>
        <v>1.25</v>
      </c>
      <c r="I49" s="19"/>
    </row>
    <row r="50" ht="15.0" customHeight="1">
      <c r="A50" s="24">
        <v>45762.0</v>
      </c>
      <c r="B50" s="19" t="s">
        <v>96</v>
      </c>
      <c r="C50" s="19" t="s">
        <v>90</v>
      </c>
      <c r="D50" s="19" t="s">
        <v>91</v>
      </c>
      <c r="E50" s="20">
        <v>0.0</v>
      </c>
      <c r="F50" s="20">
        <v>1.25</v>
      </c>
      <c r="G50" s="25">
        <v>1.0</v>
      </c>
      <c r="H50" s="20">
        <f t="shared" si="1"/>
        <v>1.25</v>
      </c>
      <c r="I50" s="19"/>
    </row>
    <row r="51" ht="15.0" customHeight="1">
      <c r="A51" s="24">
        <v>45762.0</v>
      </c>
      <c r="B51" s="19" t="s">
        <v>115</v>
      </c>
      <c r="C51" s="19" t="s">
        <v>108</v>
      </c>
      <c r="D51" s="19" t="s">
        <v>109</v>
      </c>
      <c r="E51" s="20">
        <v>1000.0</v>
      </c>
      <c r="F51" s="20">
        <v>7.5</v>
      </c>
      <c r="G51" s="25">
        <v>0.5</v>
      </c>
      <c r="H51" s="20">
        <f t="shared" si="1"/>
        <v>503.75</v>
      </c>
      <c r="I51" s="19" t="s">
        <v>92</v>
      </c>
    </row>
    <row r="52" ht="15.0" customHeight="1">
      <c r="A52" s="24">
        <v>45762.0</v>
      </c>
      <c r="B52" s="19" t="s">
        <v>95</v>
      </c>
      <c r="C52" s="19" t="s">
        <v>90</v>
      </c>
      <c r="D52" s="19" t="s">
        <v>91</v>
      </c>
      <c r="E52" s="20">
        <v>0.0</v>
      </c>
      <c r="F52" s="20">
        <v>1.25</v>
      </c>
      <c r="G52" s="25">
        <v>1.0</v>
      </c>
      <c r="H52" s="20">
        <f t="shared" si="1"/>
        <v>1.25</v>
      </c>
      <c r="I52" s="19"/>
    </row>
    <row r="53" ht="15.0" customHeight="1">
      <c r="A53" s="24">
        <v>45762.0</v>
      </c>
      <c r="B53" s="19" t="s">
        <v>96</v>
      </c>
      <c r="C53" s="19" t="s">
        <v>90</v>
      </c>
      <c r="D53" s="19" t="s">
        <v>91</v>
      </c>
      <c r="E53" s="20">
        <v>0.0</v>
      </c>
      <c r="F53" s="20">
        <v>1.25</v>
      </c>
      <c r="G53" s="25">
        <v>1.0</v>
      </c>
      <c r="H53" s="20">
        <f t="shared" si="1"/>
        <v>1.25</v>
      </c>
      <c r="I53" s="19"/>
    </row>
    <row r="54" ht="23.25" customHeight="1">
      <c r="A54" s="26">
        <v>45763.0</v>
      </c>
      <c r="B54" s="27" t="s">
        <v>116</v>
      </c>
      <c r="C54" s="27" t="s">
        <v>117</v>
      </c>
      <c r="D54" s="27" t="s">
        <v>118</v>
      </c>
      <c r="E54" s="28">
        <v>1000.0</v>
      </c>
      <c r="F54" s="28">
        <v>0.0</v>
      </c>
      <c r="G54" s="29">
        <v>0.0</v>
      </c>
      <c r="H54" s="28">
        <f t="shared" si="1"/>
        <v>0</v>
      </c>
      <c r="I54" s="27" t="s">
        <v>92</v>
      </c>
    </row>
    <row r="55" ht="15.0" customHeight="1">
      <c r="A55" s="24">
        <v>45764.0</v>
      </c>
      <c r="B55" s="19" t="s">
        <v>106</v>
      </c>
      <c r="C55" s="19" t="s">
        <v>104</v>
      </c>
      <c r="D55" s="19" t="s">
        <v>105</v>
      </c>
      <c r="E55" s="20">
        <v>3000.0</v>
      </c>
      <c r="F55" s="20">
        <v>7.5</v>
      </c>
      <c r="G55" s="25">
        <v>1.0</v>
      </c>
      <c r="H55" s="20">
        <f t="shared" si="1"/>
        <v>3007.5</v>
      </c>
      <c r="I55" s="19" t="s">
        <v>92</v>
      </c>
    </row>
    <row r="56" ht="15.0" customHeight="1">
      <c r="A56" s="24">
        <v>45764.0</v>
      </c>
      <c r="B56" s="19" t="s">
        <v>95</v>
      </c>
      <c r="C56" s="19" t="s">
        <v>90</v>
      </c>
      <c r="D56" s="19" t="s">
        <v>91</v>
      </c>
      <c r="E56" s="20">
        <v>0.0</v>
      </c>
      <c r="F56" s="20">
        <v>1.25</v>
      </c>
      <c r="G56" s="25">
        <v>1.0</v>
      </c>
      <c r="H56" s="20">
        <f t="shared" si="1"/>
        <v>1.25</v>
      </c>
      <c r="I56" s="19"/>
    </row>
    <row r="57" ht="15.0" customHeight="1">
      <c r="A57" s="24">
        <v>45764.0</v>
      </c>
      <c r="B57" s="19" t="s">
        <v>96</v>
      </c>
      <c r="C57" s="19" t="s">
        <v>90</v>
      </c>
      <c r="D57" s="19" t="s">
        <v>91</v>
      </c>
      <c r="E57" s="20">
        <v>0.0</v>
      </c>
      <c r="F57" s="20">
        <v>1.25</v>
      </c>
      <c r="G57" s="25">
        <v>1.0</v>
      </c>
      <c r="H57" s="20">
        <f t="shared" si="1"/>
        <v>1.25</v>
      </c>
      <c r="I57" s="19"/>
    </row>
    <row r="58" ht="15.0" customHeight="1">
      <c r="A58" s="24">
        <v>45764.0</v>
      </c>
      <c r="B58" s="19" t="s">
        <v>106</v>
      </c>
      <c r="C58" s="19" t="s">
        <v>104</v>
      </c>
      <c r="D58" s="19" t="s">
        <v>105</v>
      </c>
      <c r="E58" s="20">
        <v>3000.0</v>
      </c>
      <c r="F58" s="20">
        <v>7.5</v>
      </c>
      <c r="G58" s="25">
        <v>1.0</v>
      </c>
      <c r="H58" s="20">
        <f t="shared" si="1"/>
        <v>3007.5</v>
      </c>
      <c r="I58" s="19" t="s">
        <v>92</v>
      </c>
    </row>
    <row r="59" ht="15.0" customHeight="1">
      <c r="A59" s="24">
        <v>45764.0</v>
      </c>
      <c r="B59" s="19" t="s">
        <v>95</v>
      </c>
      <c r="C59" s="19" t="s">
        <v>90</v>
      </c>
      <c r="D59" s="19" t="s">
        <v>91</v>
      </c>
      <c r="E59" s="20">
        <v>0.0</v>
      </c>
      <c r="F59" s="20">
        <v>1.25</v>
      </c>
      <c r="G59" s="25">
        <v>1.0</v>
      </c>
      <c r="H59" s="20">
        <f t="shared" si="1"/>
        <v>1.25</v>
      </c>
      <c r="I59" s="19"/>
    </row>
    <row r="60" ht="15.0" customHeight="1">
      <c r="A60" s="24">
        <v>45764.0</v>
      </c>
      <c r="B60" s="19" t="s">
        <v>96</v>
      </c>
      <c r="C60" s="19" t="s">
        <v>90</v>
      </c>
      <c r="D60" s="19" t="s">
        <v>91</v>
      </c>
      <c r="E60" s="20">
        <v>0.0</v>
      </c>
      <c r="F60" s="20">
        <v>1.25</v>
      </c>
      <c r="G60" s="25">
        <v>1.0</v>
      </c>
      <c r="H60" s="20">
        <f t="shared" si="1"/>
        <v>1.25</v>
      </c>
      <c r="I60" s="19"/>
    </row>
    <row r="61" ht="15.0" customHeight="1">
      <c r="A61" s="24">
        <v>45764.0</v>
      </c>
      <c r="B61" s="19" t="s">
        <v>119</v>
      </c>
      <c r="C61" s="19" t="s">
        <v>104</v>
      </c>
      <c r="D61" s="19" t="s">
        <v>105</v>
      </c>
      <c r="E61" s="20">
        <v>500.0</v>
      </c>
      <c r="F61" s="20">
        <v>7.5</v>
      </c>
      <c r="G61" s="25">
        <v>1.0</v>
      </c>
      <c r="H61" s="20">
        <f t="shared" si="1"/>
        <v>507.5</v>
      </c>
      <c r="I61" s="19" t="s">
        <v>92</v>
      </c>
    </row>
    <row r="62" ht="15.0" customHeight="1">
      <c r="A62" s="24">
        <v>45764.0</v>
      </c>
      <c r="B62" s="19" t="s">
        <v>95</v>
      </c>
      <c r="C62" s="19" t="s">
        <v>90</v>
      </c>
      <c r="D62" s="19" t="s">
        <v>91</v>
      </c>
      <c r="E62" s="20">
        <v>0.0</v>
      </c>
      <c r="F62" s="20">
        <v>1.25</v>
      </c>
      <c r="G62" s="25">
        <v>1.0</v>
      </c>
      <c r="H62" s="20">
        <f t="shared" si="1"/>
        <v>1.25</v>
      </c>
      <c r="I62" s="19"/>
    </row>
    <row r="63" ht="15.0" customHeight="1">
      <c r="A63" s="24">
        <v>45764.0</v>
      </c>
      <c r="B63" s="19" t="s">
        <v>96</v>
      </c>
      <c r="C63" s="19" t="s">
        <v>90</v>
      </c>
      <c r="D63" s="19" t="s">
        <v>91</v>
      </c>
      <c r="E63" s="20">
        <v>0.0</v>
      </c>
      <c r="F63" s="20">
        <v>1.25</v>
      </c>
      <c r="G63" s="25">
        <v>1.0</v>
      </c>
      <c r="H63" s="20">
        <f t="shared" si="1"/>
        <v>1.25</v>
      </c>
      <c r="I63" s="19"/>
    </row>
    <row r="64" ht="23.25" customHeight="1">
      <c r="A64" s="24">
        <v>45764.0</v>
      </c>
      <c r="B64" s="19" t="s">
        <v>120</v>
      </c>
      <c r="C64" s="19" t="s">
        <v>108</v>
      </c>
      <c r="D64" s="19" t="s">
        <v>121</v>
      </c>
      <c r="E64" s="20">
        <v>2000.0</v>
      </c>
      <c r="F64" s="20">
        <v>0.0</v>
      </c>
      <c r="G64" s="25">
        <v>0.5</v>
      </c>
      <c r="H64" s="20">
        <f t="shared" si="1"/>
        <v>1000</v>
      </c>
      <c r="I64" s="19" t="s">
        <v>92</v>
      </c>
    </row>
    <row r="65" ht="15.0" customHeight="1">
      <c r="A65" s="24">
        <v>45764.0</v>
      </c>
      <c r="B65" s="19" t="s">
        <v>95</v>
      </c>
      <c r="C65" s="19" t="s">
        <v>90</v>
      </c>
      <c r="D65" s="19" t="s">
        <v>91</v>
      </c>
      <c r="E65" s="20">
        <v>0.0</v>
      </c>
      <c r="F65" s="20">
        <v>1.25</v>
      </c>
      <c r="G65" s="25">
        <v>1.0</v>
      </c>
      <c r="H65" s="20">
        <f t="shared" si="1"/>
        <v>1.25</v>
      </c>
      <c r="I65" s="19"/>
    </row>
    <row r="66" ht="15.0" customHeight="1">
      <c r="A66" s="24">
        <v>45772.0</v>
      </c>
      <c r="B66" s="19" t="s">
        <v>122</v>
      </c>
      <c r="C66" s="19" t="s">
        <v>111</v>
      </c>
      <c r="D66" s="19" t="s">
        <v>112</v>
      </c>
      <c r="E66" s="20">
        <v>7700.0</v>
      </c>
      <c r="F66" s="20">
        <v>0.0</v>
      </c>
      <c r="G66" s="25">
        <v>1.0</v>
      </c>
      <c r="H66" s="20">
        <f t="shared" si="1"/>
        <v>7700</v>
      </c>
      <c r="I66" s="19" t="s">
        <v>92</v>
      </c>
    </row>
    <row r="67" ht="15.0" customHeight="1">
      <c r="A67" s="24">
        <v>45772.0</v>
      </c>
      <c r="B67" s="19" t="s">
        <v>95</v>
      </c>
      <c r="C67" s="19" t="s">
        <v>90</v>
      </c>
      <c r="D67" s="19" t="s">
        <v>91</v>
      </c>
      <c r="E67" s="20">
        <v>0.0</v>
      </c>
      <c r="F67" s="20">
        <v>1.25</v>
      </c>
      <c r="G67" s="25">
        <v>1.0</v>
      </c>
      <c r="H67" s="20">
        <f t="shared" si="1"/>
        <v>1.25</v>
      </c>
      <c r="I67" s="19"/>
    </row>
    <row r="68" ht="15.0" customHeight="1">
      <c r="A68" s="24">
        <v>45778.0</v>
      </c>
      <c r="B68" s="19" t="s">
        <v>101</v>
      </c>
      <c r="C68" s="19" t="s">
        <v>90</v>
      </c>
      <c r="D68" s="19" t="s">
        <v>91</v>
      </c>
      <c r="E68" s="20">
        <v>200.0</v>
      </c>
      <c r="F68" s="20">
        <v>0.0</v>
      </c>
      <c r="G68" s="25">
        <v>1.0</v>
      </c>
      <c r="H68" s="20">
        <f t="shared" si="1"/>
        <v>200</v>
      </c>
      <c r="I68" s="19" t="s">
        <v>92</v>
      </c>
    </row>
    <row r="69" ht="23.25" customHeight="1">
      <c r="A69" s="24">
        <v>45778.0</v>
      </c>
      <c r="B69" s="19" t="s">
        <v>123</v>
      </c>
      <c r="C69" s="19" t="s">
        <v>90</v>
      </c>
      <c r="D69" s="19" t="s">
        <v>91</v>
      </c>
      <c r="E69" s="20">
        <v>165.0</v>
      </c>
      <c r="F69" s="20">
        <v>0.0</v>
      </c>
      <c r="G69" s="25">
        <v>1.0</v>
      </c>
      <c r="H69" s="20">
        <f t="shared" si="1"/>
        <v>165</v>
      </c>
      <c r="I69" s="19" t="s">
        <v>92</v>
      </c>
    </row>
    <row r="70" ht="15.0" customHeight="1">
      <c r="A70" s="24">
        <v>45782.0</v>
      </c>
      <c r="B70" s="19" t="s">
        <v>124</v>
      </c>
      <c r="C70" s="19" t="s">
        <v>125</v>
      </c>
      <c r="D70" s="19" t="s">
        <v>126</v>
      </c>
      <c r="E70" s="20">
        <v>100.0</v>
      </c>
      <c r="F70" s="20">
        <v>0.0</v>
      </c>
      <c r="G70" s="25">
        <v>1.0</v>
      </c>
      <c r="H70" s="20">
        <f t="shared" si="1"/>
        <v>100</v>
      </c>
      <c r="I70" s="19" t="s">
        <v>92</v>
      </c>
    </row>
    <row r="71" ht="15.0" customHeight="1">
      <c r="A71" s="24">
        <v>45782.0</v>
      </c>
      <c r="B71" s="19" t="s">
        <v>95</v>
      </c>
      <c r="C71" s="19" t="s">
        <v>90</v>
      </c>
      <c r="D71" s="19" t="s">
        <v>91</v>
      </c>
      <c r="E71" s="20">
        <v>0.0</v>
      </c>
      <c r="F71" s="20">
        <v>1.25</v>
      </c>
      <c r="G71" s="25">
        <v>1.0</v>
      </c>
      <c r="H71" s="20">
        <f t="shared" si="1"/>
        <v>1.25</v>
      </c>
      <c r="I71" s="19"/>
    </row>
    <row r="72" ht="15.0" customHeight="1">
      <c r="A72" s="24">
        <v>45783.0</v>
      </c>
      <c r="B72" s="19" t="s">
        <v>127</v>
      </c>
      <c r="C72" s="19" t="s">
        <v>128</v>
      </c>
      <c r="D72" s="19" t="s">
        <v>129</v>
      </c>
      <c r="E72" s="20">
        <v>500.0</v>
      </c>
      <c r="F72" s="20">
        <v>0.0</v>
      </c>
      <c r="G72" s="25">
        <v>1.0</v>
      </c>
      <c r="H72" s="20">
        <f t="shared" si="1"/>
        <v>500</v>
      </c>
      <c r="I72" s="19" t="s">
        <v>92</v>
      </c>
    </row>
    <row r="73" ht="15.0" customHeight="1">
      <c r="A73" s="24">
        <v>45783.0</v>
      </c>
      <c r="B73" s="19" t="s">
        <v>95</v>
      </c>
      <c r="C73" s="19" t="s">
        <v>90</v>
      </c>
      <c r="D73" s="19" t="s">
        <v>91</v>
      </c>
      <c r="E73" s="20">
        <v>0.0</v>
      </c>
      <c r="F73" s="20">
        <v>1.25</v>
      </c>
      <c r="G73" s="25">
        <v>1.0</v>
      </c>
      <c r="H73" s="20">
        <f t="shared" si="1"/>
        <v>1.25</v>
      </c>
      <c r="I73" s="19"/>
    </row>
    <row r="74" ht="15.0" customHeight="1">
      <c r="A74" s="24">
        <v>45786.0</v>
      </c>
      <c r="B74" s="19" t="s">
        <v>130</v>
      </c>
      <c r="C74" s="19" t="s">
        <v>131</v>
      </c>
      <c r="D74" s="19" t="s">
        <v>132</v>
      </c>
      <c r="E74" s="20">
        <v>6500.0</v>
      </c>
      <c r="F74" s="20">
        <v>0.0</v>
      </c>
      <c r="G74" s="25">
        <v>1.0</v>
      </c>
      <c r="H74" s="20">
        <f t="shared" si="1"/>
        <v>6500</v>
      </c>
      <c r="I74" s="19" t="s">
        <v>92</v>
      </c>
    </row>
    <row r="75" ht="15.0" customHeight="1">
      <c r="A75" s="24">
        <v>45786.0</v>
      </c>
      <c r="B75" s="19" t="s">
        <v>95</v>
      </c>
      <c r="C75" s="19" t="s">
        <v>90</v>
      </c>
      <c r="D75" s="19" t="s">
        <v>91</v>
      </c>
      <c r="E75" s="20">
        <v>0.0</v>
      </c>
      <c r="F75" s="20">
        <v>1.25</v>
      </c>
      <c r="G75" s="25">
        <v>1.0</v>
      </c>
      <c r="H75" s="20">
        <f t="shared" si="1"/>
        <v>1.25</v>
      </c>
      <c r="I75" s="19"/>
    </row>
    <row r="76" ht="15.0" customHeight="1">
      <c r="A76" s="24">
        <v>45808.0</v>
      </c>
      <c r="B76" s="19" t="s">
        <v>133</v>
      </c>
      <c r="C76" s="19" t="s">
        <v>134</v>
      </c>
      <c r="D76" s="19" t="s">
        <v>135</v>
      </c>
      <c r="E76" s="20">
        <v>25000.0</v>
      </c>
      <c r="F76" s="20">
        <v>40.0</v>
      </c>
      <c r="G76" s="25">
        <v>1.0</v>
      </c>
      <c r="H76" s="20">
        <f t="shared" si="1"/>
        <v>25040</v>
      </c>
      <c r="I76" s="19" t="s">
        <v>92</v>
      </c>
    </row>
    <row r="77" ht="15.0" customHeight="1">
      <c r="A77" s="24">
        <v>45808.0</v>
      </c>
      <c r="B77" s="19" t="s">
        <v>96</v>
      </c>
      <c r="C77" s="19" t="s">
        <v>90</v>
      </c>
      <c r="D77" s="19" t="s">
        <v>91</v>
      </c>
      <c r="E77" s="20">
        <v>0.0</v>
      </c>
      <c r="F77" s="20">
        <v>1.25</v>
      </c>
      <c r="G77" s="25">
        <v>1.0</v>
      </c>
      <c r="H77" s="20">
        <f t="shared" si="1"/>
        <v>1.25</v>
      </c>
      <c r="I77" s="19"/>
    </row>
    <row r="78" ht="15.0" customHeight="1">
      <c r="A78" s="24">
        <v>45809.0</v>
      </c>
      <c r="B78" s="19" t="s">
        <v>101</v>
      </c>
      <c r="C78" s="19" t="s">
        <v>90</v>
      </c>
      <c r="D78" s="19" t="s">
        <v>91</v>
      </c>
      <c r="E78" s="20">
        <v>200.0</v>
      </c>
      <c r="F78" s="20">
        <v>0.0</v>
      </c>
      <c r="G78" s="25">
        <v>1.0</v>
      </c>
      <c r="H78" s="20">
        <f t="shared" si="1"/>
        <v>200</v>
      </c>
      <c r="I78" s="19" t="s">
        <v>92</v>
      </c>
    </row>
    <row r="79" ht="15.0" customHeight="1">
      <c r="A79" s="24">
        <v>45809.0</v>
      </c>
      <c r="B79" s="19" t="s">
        <v>102</v>
      </c>
      <c r="C79" s="19" t="s">
        <v>90</v>
      </c>
      <c r="D79" s="19" t="s">
        <v>91</v>
      </c>
      <c r="E79" s="20">
        <v>48.75</v>
      </c>
      <c r="F79" s="20">
        <v>0.0</v>
      </c>
      <c r="G79" s="25">
        <v>1.0</v>
      </c>
      <c r="H79" s="20">
        <f t="shared" si="1"/>
        <v>48.75</v>
      </c>
      <c r="I79" s="19" t="s">
        <v>92</v>
      </c>
    </row>
    <row r="80" ht="15.0" customHeight="1">
      <c r="A80" s="24">
        <v>45821.0</v>
      </c>
      <c r="B80" s="19" t="s">
        <v>136</v>
      </c>
      <c r="C80" s="19" t="s">
        <v>99</v>
      </c>
      <c r="D80" s="19" t="s">
        <v>137</v>
      </c>
      <c r="E80" s="20">
        <v>1489.95</v>
      </c>
      <c r="F80" s="20">
        <v>0.0</v>
      </c>
      <c r="G80" s="25">
        <v>1.0</v>
      </c>
      <c r="H80" s="20">
        <f t="shared" si="1"/>
        <v>1489.95</v>
      </c>
      <c r="I80" s="19" t="s">
        <v>92</v>
      </c>
    </row>
    <row r="81" ht="15.0" customHeight="1">
      <c r="A81" s="24">
        <v>45821.0</v>
      </c>
      <c r="B81" s="19" t="s">
        <v>95</v>
      </c>
      <c r="C81" s="19" t="s">
        <v>90</v>
      </c>
      <c r="D81" s="19" t="s">
        <v>91</v>
      </c>
      <c r="E81" s="20">
        <v>0.0</v>
      </c>
      <c r="F81" s="20">
        <v>1.25</v>
      </c>
      <c r="G81" s="25">
        <v>1.0</v>
      </c>
      <c r="H81" s="20">
        <f t="shared" si="1"/>
        <v>1.25</v>
      </c>
      <c r="I81" s="19"/>
    </row>
    <row r="82" ht="15.0" customHeight="1">
      <c r="A82" s="24">
        <v>45821.0</v>
      </c>
      <c r="B82" s="19" t="s">
        <v>138</v>
      </c>
      <c r="C82" s="19" t="s">
        <v>128</v>
      </c>
      <c r="D82" s="19" t="s">
        <v>129</v>
      </c>
      <c r="E82" s="20">
        <v>6000.0</v>
      </c>
      <c r="F82" s="20">
        <v>0.0</v>
      </c>
      <c r="G82" s="25">
        <v>1.0</v>
      </c>
      <c r="H82" s="20">
        <f t="shared" si="1"/>
        <v>6000</v>
      </c>
      <c r="I82" s="19" t="s">
        <v>92</v>
      </c>
    </row>
    <row r="83" ht="15.0" customHeight="1">
      <c r="A83" s="24">
        <v>45821.0</v>
      </c>
      <c r="B83" s="19" t="s">
        <v>95</v>
      </c>
      <c r="C83" s="19" t="s">
        <v>90</v>
      </c>
      <c r="D83" s="19" t="s">
        <v>91</v>
      </c>
      <c r="E83" s="20">
        <v>0.0</v>
      </c>
      <c r="F83" s="20">
        <v>1.25</v>
      </c>
      <c r="G83" s="25">
        <v>1.0</v>
      </c>
      <c r="H83" s="20">
        <f t="shared" si="1"/>
        <v>1.25</v>
      </c>
      <c r="I83" s="19"/>
    </row>
    <row r="84" ht="23.25" customHeight="1">
      <c r="A84" s="26">
        <v>45821.0</v>
      </c>
      <c r="B84" s="27" t="s">
        <v>139</v>
      </c>
      <c r="C84" s="27" t="s">
        <v>117</v>
      </c>
      <c r="D84" s="27" t="s">
        <v>118</v>
      </c>
      <c r="E84" s="28">
        <v>100000.0</v>
      </c>
      <c r="F84" s="28">
        <v>0.0</v>
      </c>
      <c r="G84" s="29">
        <v>0.0</v>
      </c>
      <c r="H84" s="28">
        <f t="shared" si="1"/>
        <v>0</v>
      </c>
      <c r="I84" s="27" t="s">
        <v>92</v>
      </c>
    </row>
    <row r="85" ht="15.0" customHeight="1">
      <c r="A85" s="24">
        <v>45837.0</v>
      </c>
      <c r="B85" s="19" t="s">
        <v>140</v>
      </c>
      <c r="C85" s="19" t="s">
        <v>108</v>
      </c>
      <c r="D85" s="19" t="s">
        <v>141</v>
      </c>
      <c r="E85" s="20">
        <v>0.0</v>
      </c>
      <c r="F85" s="20">
        <v>13.5</v>
      </c>
      <c r="G85" s="25">
        <v>0.5</v>
      </c>
      <c r="H85" s="20">
        <f t="shared" si="1"/>
        <v>6.75</v>
      </c>
      <c r="I85" s="19"/>
    </row>
    <row r="86" ht="15.0" customHeight="1">
      <c r="A86" s="24">
        <v>45839.0</v>
      </c>
      <c r="B86" s="19" t="s">
        <v>102</v>
      </c>
      <c r="C86" s="19" t="s">
        <v>90</v>
      </c>
      <c r="D86" s="19" t="s">
        <v>91</v>
      </c>
      <c r="E86" s="20">
        <v>18.5</v>
      </c>
      <c r="F86" s="20">
        <v>0.0</v>
      </c>
      <c r="G86" s="25">
        <v>1.0</v>
      </c>
      <c r="H86" s="20">
        <f t="shared" si="1"/>
        <v>18.5</v>
      </c>
      <c r="I86" s="19" t="s">
        <v>92</v>
      </c>
    </row>
    <row r="87" ht="34.5" customHeight="1">
      <c r="A87" s="24">
        <v>45839.0</v>
      </c>
      <c r="B87" s="19" t="s">
        <v>142</v>
      </c>
      <c r="C87" s="19" t="s">
        <v>90</v>
      </c>
      <c r="D87" s="19" t="s">
        <v>91</v>
      </c>
      <c r="E87" s="20">
        <v>200.0</v>
      </c>
      <c r="F87" s="20">
        <v>0.0</v>
      </c>
      <c r="G87" s="25">
        <v>1.0</v>
      </c>
      <c r="H87" s="20">
        <f t="shared" si="1"/>
        <v>200</v>
      </c>
      <c r="I87" s="19" t="s">
        <v>92</v>
      </c>
    </row>
    <row r="88" ht="15.0" customHeight="1">
      <c r="A88" s="24">
        <v>45846.0</v>
      </c>
      <c r="B88" s="19" t="s">
        <v>143</v>
      </c>
      <c r="C88" s="19" t="s">
        <v>144</v>
      </c>
      <c r="D88" s="19" t="s">
        <v>145</v>
      </c>
      <c r="E88" s="20">
        <v>2395.0</v>
      </c>
      <c r="F88" s="20">
        <v>0.0</v>
      </c>
      <c r="G88" s="25">
        <v>1.0</v>
      </c>
      <c r="H88" s="20">
        <f t="shared" si="1"/>
        <v>2395</v>
      </c>
      <c r="I88" s="19" t="s">
        <v>92</v>
      </c>
    </row>
    <row r="89" ht="15.0" customHeight="1">
      <c r="A89" s="24">
        <v>45846.0</v>
      </c>
      <c r="B89" s="19" t="s">
        <v>95</v>
      </c>
      <c r="C89" s="19" t="s">
        <v>90</v>
      </c>
      <c r="D89" s="19" t="s">
        <v>91</v>
      </c>
      <c r="E89" s="20">
        <v>0.0</v>
      </c>
      <c r="F89" s="20">
        <v>1.25</v>
      </c>
      <c r="G89" s="25">
        <v>1.0</v>
      </c>
      <c r="H89" s="20">
        <f t="shared" si="1"/>
        <v>1.25</v>
      </c>
      <c r="I89" s="19"/>
    </row>
    <row r="90" ht="23.25" customHeight="1">
      <c r="A90" s="26">
        <v>45848.0</v>
      </c>
      <c r="B90" s="27" t="s">
        <v>139</v>
      </c>
      <c r="C90" s="27" t="s">
        <v>117</v>
      </c>
      <c r="D90" s="27" t="s">
        <v>118</v>
      </c>
      <c r="E90" s="28">
        <v>70000.0</v>
      </c>
      <c r="F90" s="28">
        <v>0.0</v>
      </c>
      <c r="G90" s="29">
        <v>0.0</v>
      </c>
      <c r="H90" s="28">
        <f t="shared" si="1"/>
        <v>0</v>
      </c>
      <c r="I90" s="27" t="s">
        <v>92</v>
      </c>
    </row>
    <row r="91" ht="23.25" customHeight="1">
      <c r="A91" s="24">
        <v>45848.0</v>
      </c>
      <c r="B91" s="19" t="s">
        <v>146</v>
      </c>
      <c r="C91" s="19" t="s">
        <v>147</v>
      </c>
      <c r="D91" s="19" t="s">
        <v>148</v>
      </c>
      <c r="E91" s="20">
        <v>129.8</v>
      </c>
      <c r="F91" s="20">
        <v>0.0</v>
      </c>
      <c r="G91" s="25">
        <v>1.0</v>
      </c>
      <c r="H91" s="20">
        <f t="shared" si="1"/>
        <v>129.8</v>
      </c>
      <c r="I91" s="19" t="s">
        <v>92</v>
      </c>
    </row>
    <row r="92" ht="23.25" customHeight="1">
      <c r="A92" s="24">
        <v>45848.0</v>
      </c>
      <c r="B92" s="19" t="s">
        <v>149</v>
      </c>
      <c r="C92" s="19" t="s">
        <v>150</v>
      </c>
      <c r="D92" s="19" t="s">
        <v>151</v>
      </c>
      <c r="E92" s="20">
        <v>106.0</v>
      </c>
      <c r="F92" s="20">
        <v>0.0</v>
      </c>
      <c r="G92" s="25">
        <v>1.0</v>
      </c>
      <c r="H92" s="20">
        <f t="shared" si="1"/>
        <v>106</v>
      </c>
      <c r="I92" s="19" t="s">
        <v>92</v>
      </c>
    </row>
    <row r="93" ht="23.25" customHeight="1">
      <c r="A93" s="24">
        <v>45861.0</v>
      </c>
      <c r="B93" s="19" t="s">
        <v>152</v>
      </c>
      <c r="C93" s="19" t="s">
        <v>150</v>
      </c>
      <c r="D93" s="19" t="s">
        <v>151</v>
      </c>
      <c r="E93" s="20">
        <v>121.5</v>
      </c>
      <c r="F93" s="20">
        <v>0.0</v>
      </c>
      <c r="G93" s="25">
        <v>1.0</v>
      </c>
      <c r="H93" s="20">
        <f t="shared" si="1"/>
        <v>121.5</v>
      </c>
      <c r="I93" s="19" t="s">
        <v>92</v>
      </c>
    </row>
    <row r="94" ht="23.25" customHeight="1">
      <c r="A94" s="24">
        <v>45863.0</v>
      </c>
      <c r="B94" s="19" t="s">
        <v>153</v>
      </c>
      <c r="C94" s="19" t="s">
        <v>150</v>
      </c>
      <c r="D94" s="19" t="s">
        <v>151</v>
      </c>
      <c r="E94" s="20">
        <v>180.0</v>
      </c>
      <c r="F94" s="20">
        <v>0.0</v>
      </c>
      <c r="G94" s="25">
        <v>1.0</v>
      </c>
      <c r="H94" s="20">
        <f t="shared" si="1"/>
        <v>180</v>
      </c>
      <c r="I94" s="19" t="s">
        <v>92</v>
      </c>
    </row>
    <row r="95" ht="15.0" customHeight="1">
      <c r="A95" s="24">
        <v>45865.0</v>
      </c>
      <c r="B95" s="19" t="s">
        <v>154</v>
      </c>
      <c r="C95" s="19" t="s">
        <v>108</v>
      </c>
      <c r="D95" s="19" t="s">
        <v>155</v>
      </c>
      <c r="E95" s="20">
        <v>106.0</v>
      </c>
      <c r="F95" s="20">
        <v>0.0</v>
      </c>
      <c r="G95" s="25">
        <v>0.5</v>
      </c>
      <c r="H95" s="20">
        <f t="shared" si="1"/>
        <v>53</v>
      </c>
      <c r="I95" s="19" t="s">
        <v>92</v>
      </c>
    </row>
    <row r="96" ht="23.25" customHeight="1">
      <c r="A96" s="24">
        <v>45868.0</v>
      </c>
      <c r="B96" s="19" t="s">
        <v>156</v>
      </c>
      <c r="C96" s="19" t="s">
        <v>108</v>
      </c>
      <c r="D96" s="19" t="s">
        <v>155</v>
      </c>
      <c r="E96" s="20">
        <v>899.0</v>
      </c>
      <c r="F96" s="20">
        <v>0.0</v>
      </c>
      <c r="G96" s="25">
        <v>0.5</v>
      </c>
      <c r="H96" s="20">
        <f t="shared" si="1"/>
        <v>449.5</v>
      </c>
      <c r="I96" s="19" t="s">
        <v>92</v>
      </c>
    </row>
    <row r="97" ht="23.25" customHeight="1">
      <c r="A97" s="24">
        <v>45870.0</v>
      </c>
      <c r="B97" s="19" t="s">
        <v>157</v>
      </c>
      <c r="C97" s="19" t="s">
        <v>150</v>
      </c>
      <c r="D97" s="19" t="s">
        <v>151</v>
      </c>
      <c r="E97" s="20">
        <v>150.4</v>
      </c>
      <c r="F97" s="20">
        <v>0.0</v>
      </c>
      <c r="G97" s="25">
        <v>1.0</v>
      </c>
      <c r="H97" s="20">
        <f t="shared" si="1"/>
        <v>150.4</v>
      </c>
      <c r="I97" s="19" t="s">
        <v>92</v>
      </c>
    </row>
    <row r="98" ht="23.25" customHeight="1">
      <c r="A98" s="24">
        <v>45870.0</v>
      </c>
      <c r="B98" s="19" t="s">
        <v>158</v>
      </c>
      <c r="C98" s="19" t="s">
        <v>99</v>
      </c>
      <c r="D98" s="19" t="s">
        <v>159</v>
      </c>
      <c r="E98" s="20">
        <v>360.24</v>
      </c>
      <c r="F98" s="20">
        <v>9.01</v>
      </c>
      <c r="G98" s="25">
        <v>1.0</v>
      </c>
      <c r="H98" s="20">
        <f t="shared" si="1"/>
        <v>369.25</v>
      </c>
      <c r="I98" s="19" t="s">
        <v>92</v>
      </c>
    </row>
    <row r="99" ht="15.0" customHeight="1">
      <c r="A99" s="24">
        <v>45870.0</v>
      </c>
      <c r="B99" s="19" t="s">
        <v>102</v>
      </c>
      <c r="C99" s="19" t="s">
        <v>90</v>
      </c>
      <c r="D99" s="19" t="s">
        <v>91</v>
      </c>
      <c r="E99" s="20">
        <v>1.25</v>
      </c>
      <c r="F99" s="20">
        <v>0.0</v>
      </c>
      <c r="G99" s="25">
        <v>1.0</v>
      </c>
      <c r="H99" s="20">
        <f t="shared" si="1"/>
        <v>1.25</v>
      </c>
      <c r="I99" s="19" t="s">
        <v>92</v>
      </c>
    </row>
    <row r="100" ht="34.5" customHeight="1">
      <c r="A100" s="24">
        <v>45870.0</v>
      </c>
      <c r="B100" s="19" t="s">
        <v>160</v>
      </c>
      <c r="C100" s="19" t="s">
        <v>90</v>
      </c>
      <c r="D100" s="19" t="s">
        <v>91</v>
      </c>
      <c r="E100" s="20">
        <v>200.0</v>
      </c>
      <c r="F100" s="20">
        <v>0.0</v>
      </c>
      <c r="G100" s="25">
        <v>1.0</v>
      </c>
      <c r="H100" s="20">
        <f t="shared" si="1"/>
        <v>200</v>
      </c>
      <c r="I100" s="19" t="s">
        <v>92</v>
      </c>
    </row>
    <row r="101" ht="23.25" customHeight="1">
      <c r="A101" s="24">
        <v>45872.0</v>
      </c>
      <c r="B101" s="19" t="s">
        <v>161</v>
      </c>
      <c r="C101" s="19" t="s">
        <v>150</v>
      </c>
      <c r="D101" s="19" t="s">
        <v>151</v>
      </c>
      <c r="E101" s="20">
        <v>106.0</v>
      </c>
      <c r="F101" s="20">
        <v>0.0</v>
      </c>
      <c r="G101" s="25">
        <v>1.0</v>
      </c>
      <c r="H101" s="20">
        <f t="shared" si="1"/>
        <v>106</v>
      </c>
      <c r="I101" s="19" t="s">
        <v>92</v>
      </c>
    </row>
    <row r="102" ht="15.0" customHeight="1">
      <c r="A102" s="24">
        <v>45876.0</v>
      </c>
      <c r="B102" s="19" t="s">
        <v>162</v>
      </c>
      <c r="C102" s="19" t="s">
        <v>128</v>
      </c>
      <c r="D102" s="19" t="s">
        <v>129</v>
      </c>
      <c r="E102" s="20">
        <v>2000.0</v>
      </c>
      <c r="F102" s="20">
        <v>0.0</v>
      </c>
      <c r="G102" s="25">
        <v>1.0</v>
      </c>
      <c r="H102" s="20">
        <f t="shared" si="1"/>
        <v>2000</v>
      </c>
      <c r="I102" s="19" t="s">
        <v>92</v>
      </c>
    </row>
    <row r="103" ht="15.0" customHeight="1">
      <c r="A103" s="24">
        <v>45876.0</v>
      </c>
      <c r="B103" s="19" t="s">
        <v>95</v>
      </c>
      <c r="C103" s="19" t="s">
        <v>90</v>
      </c>
      <c r="D103" s="19" t="s">
        <v>91</v>
      </c>
      <c r="E103" s="20">
        <v>0.0</v>
      </c>
      <c r="F103" s="20">
        <v>1.25</v>
      </c>
      <c r="G103" s="25">
        <v>1.0</v>
      </c>
      <c r="H103" s="20">
        <f t="shared" si="1"/>
        <v>1.25</v>
      </c>
      <c r="I103" s="19"/>
    </row>
    <row r="104" ht="23.25" customHeight="1">
      <c r="A104" s="24">
        <v>45878.0</v>
      </c>
      <c r="B104" s="19" t="s">
        <v>163</v>
      </c>
      <c r="C104" s="19" t="s">
        <v>150</v>
      </c>
      <c r="D104" s="19" t="s">
        <v>151</v>
      </c>
      <c r="E104" s="20">
        <v>198.0</v>
      </c>
      <c r="F104" s="20">
        <v>0.0</v>
      </c>
      <c r="G104" s="25">
        <v>1.0</v>
      </c>
      <c r="H104" s="20">
        <f t="shared" si="1"/>
        <v>198</v>
      </c>
      <c r="I104" s="19" t="s">
        <v>92</v>
      </c>
    </row>
    <row r="105" ht="23.25" customHeight="1">
      <c r="A105" s="26">
        <v>45881.0</v>
      </c>
      <c r="B105" s="27" t="s">
        <v>164</v>
      </c>
      <c r="C105" s="27" t="s">
        <v>117</v>
      </c>
      <c r="D105" s="27" t="s">
        <v>118</v>
      </c>
      <c r="E105" s="28">
        <v>80000.0</v>
      </c>
      <c r="F105" s="28">
        <v>0.0</v>
      </c>
      <c r="G105" s="29">
        <v>0.0</v>
      </c>
      <c r="H105" s="28">
        <f t="shared" si="1"/>
        <v>0</v>
      </c>
      <c r="I105" s="27" t="s">
        <v>92</v>
      </c>
    </row>
    <row r="106" ht="23.25" customHeight="1">
      <c r="A106" s="24">
        <v>45884.0</v>
      </c>
      <c r="B106" s="19" t="s">
        <v>165</v>
      </c>
      <c r="C106" s="19" t="s">
        <v>166</v>
      </c>
      <c r="D106" s="19" t="s">
        <v>167</v>
      </c>
      <c r="E106" s="20">
        <v>144.38</v>
      </c>
      <c r="F106" s="20">
        <v>0.0</v>
      </c>
      <c r="G106" s="25">
        <v>1.0</v>
      </c>
      <c r="H106" s="20">
        <f t="shared" si="1"/>
        <v>144.38</v>
      </c>
      <c r="I106" s="19" t="s">
        <v>92</v>
      </c>
    </row>
    <row r="107" ht="23.25" customHeight="1">
      <c r="A107" s="24">
        <v>45897.0</v>
      </c>
      <c r="B107" s="19" t="s">
        <v>168</v>
      </c>
      <c r="C107" s="19" t="s">
        <v>108</v>
      </c>
      <c r="D107" s="19" t="s">
        <v>169</v>
      </c>
      <c r="E107" s="20">
        <v>950.0</v>
      </c>
      <c r="F107" s="20">
        <v>0.0</v>
      </c>
      <c r="G107" s="25">
        <v>0.5</v>
      </c>
      <c r="H107" s="20">
        <f t="shared" si="1"/>
        <v>475</v>
      </c>
      <c r="I107" s="19" t="s">
        <v>92</v>
      </c>
    </row>
    <row r="108" ht="23.25" customHeight="1">
      <c r="A108" s="24">
        <v>45897.0</v>
      </c>
      <c r="B108" s="19" t="s">
        <v>170</v>
      </c>
      <c r="C108" s="19" t="s">
        <v>147</v>
      </c>
      <c r="D108" s="19" t="s">
        <v>148</v>
      </c>
      <c r="E108" s="20">
        <v>123.0</v>
      </c>
      <c r="F108" s="20">
        <v>0.0</v>
      </c>
      <c r="G108" s="25">
        <v>1.0</v>
      </c>
      <c r="H108" s="20">
        <f t="shared" si="1"/>
        <v>123</v>
      </c>
      <c r="I108" s="19" t="s">
        <v>92</v>
      </c>
    </row>
    <row r="109" ht="23.25" customHeight="1">
      <c r="A109" s="24">
        <v>45899.0</v>
      </c>
      <c r="B109" s="19" t="s">
        <v>171</v>
      </c>
      <c r="C109" s="19" t="s">
        <v>150</v>
      </c>
      <c r="D109" s="19" t="s">
        <v>151</v>
      </c>
      <c r="E109" s="20">
        <v>106.0</v>
      </c>
      <c r="F109" s="20">
        <v>0.0</v>
      </c>
      <c r="G109" s="25">
        <v>1.0</v>
      </c>
      <c r="H109" s="20">
        <f t="shared" si="1"/>
        <v>106</v>
      </c>
      <c r="I109" s="19" t="s">
        <v>92</v>
      </c>
    </row>
    <row r="110" ht="23.25" customHeight="1">
      <c r="A110" s="24">
        <v>45900.0</v>
      </c>
      <c r="B110" s="19" t="s">
        <v>172</v>
      </c>
      <c r="C110" s="19" t="s">
        <v>150</v>
      </c>
      <c r="D110" s="19" t="s">
        <v>151</v>
      </c>
      <c r="E110" s="20">
        <v>106.0</v>
      </c>
      <c r="F110" s="20">
        <v>0.0</v>
      </c>
      <c r="G110" s="25">
        <v>1.0</v>
      </c>
      <c r="H110" s="20">
        <f t="shared" si="1"/>
        <v>106</v>
      </c>
      <c r="I110" s="19" t="s">
        <v>92</v>
      </c>
    </row>
    <row r="111" ht="15.0" customHeight="1">
      <c r="A111" s="24">
        <v>45901.0</v>
      </c>
      <c r="B111" s="19" t="s">
        <v>101</v>
      </c>
      <c r="C111" s="19" t="s">
        <v>90</v>
      </c>
      <c r="D111" s="19" t="s">
        <v>91</v>
      </c>
      <c r="E111" s="20">
        <v>200.0</v>
      </c>
      <c r="F111" s="20">
        <v>0.0</v>
      </c>
      <c r="G111" s="25">
        <v>1.0</v>
      </c>
      <c r="H111" s="20">
        <f t="shared" si="1"/>
        <v>200</v>
      </c>
      <c r="I111" s="19" t="s">
        <v>92</v>
      </c>
    </row>
    <row r="112" ht="15.0" customHeight="1">
      <c r="A112" s="24">
        <v>45901.0</v>
      </c>
      <c r="B112" s="19" t="s">
        <v>173</v>
      </c>
      <c r="C112" s="19" t="s">
        <v>90</v>
      </c>
      <c r="D112" s="19" t="s">
        <v>91</v>
      </c>
      <c r="E112" s="20">
        <v>9.01</v>
      </c>
      <c r="F112" s="20">
        <v>0.0</v>
      </c>
      <c r="G112" s="25">
        <v>1.0</v>
      </c>
      <c r="H112" s="20">
        <f t="shared" si="1"/>
        <v>9.01</v>
      </c>
      <c r="I112" s="19" t="s">
        <v>92</v>
      </c>
    </row>
    <row r="113" ht="15.0" customHeight="1">
      <c r="A113" s="24">
        <v>45901.0</v>
      </c>
      <c r="B113" s="19" t="s">
        <v>102</v>
      </c>
      <c r="C113" s="19" t="s">
        <v>90</v>
      </c>
      <c r="D113" s="19" t="s">
        <v>91</v>
      </c>
      <c r="E113" s="20">
        <v>2.5</v>
      </c>
      <c r="F113" s="20">
        <v>0.0</v>
      </c>
      <c r="G113" s="25">
        <v>1.0</v>
      </c>
      <c r="H113" s="20">
        <f t="shared" si="1"/>
        <v>2.5</v>
      </c>
      <c r="I113" s="19" t="s">
        <v>92</v>
      </c>
    </row>
    <row r="114" ht="15.0" customHeight="1">
      <c r="A114" s="24">
        <v>45901.0</v>
      </c>
      <c r="B114" s="19" t="s">
        <v>162</v>
      </c>
      <c r="C114" s="19" t="s">
        <v>128</v>
      </c>
      <c r="D114" s="19" t="s">
        <v>129</v>
      </c>
      <c r="E114" s="20">
        <v>2000.0</v>
      </c>
      <c r="F114" s="20">
        <v>0.0</v>
      </c>
      <c r="G114" s="25">
        <v>1.0</v>
      </c>
      <c r="H114" s="20">
        <f t="shared" si="1"/>
        <v>2000</v>
      </c>
      <c r="I114" s="19" t="s">
        <v>92</v>
      </c>
    </row>
    <row r="115" ht="15.0" customHeight="1">
      <c r="A115" s="24">
        <v>45901.0</v>
      </c>
      <c r="B115" s="19" t="s">
        <v>95</v>
      </c>
      <c r="C115" s="19" t="s">
        <v>90</v>
      </c>
      <c r="D115" s="19" t="s">
        <v>91</v>
      </c>
      <c r="E115" s="20">
        <v>0.0</v>
      </c>
      <c r="F115" s="20">
        <v>1.25</v>
      </c>
      <c r="G115" s="25">
        <v>1.0</v>
      </c>
      <c r="H115" s="20">
        <f t="shared" si="1"/>
        <v>1.25</v>
      </c>
      <c r="I115" s="19"/>
    </row>
    <row r="116" ht="15.0" customHeight="1">
      <c r="A116" s="24">
        <v>45901.0</v>
      </c>
      <c r="B116" s="19" t="s">
        <v>174</v>
      </c>
      <c r="C116" s="19" t="s">
        <v>99</v>
      </c>
      <c r="D116" s="19" t="s">
        <v>175</v>
      </c>
      <c r="E116" s="20">
        <v>2150.0</v>
      </c>
      <c r="F116" s="20">
        <v>0.0</v>
      </c>
      <c r="G116" s="25">
        <v>1.0</v>
      </c>
      <c r="H116" s="20">
        <f t="shared" si="1"/>
        <v>2150</v>
      </c>
      <c r="I116" s="19" t="s">
        <v>92</v>
      </c>
    </row>
    <row r="117" ht="15.0" customHeight="1">
      <c r="A117" s="24">
        <v>45901.0</v>
      </c>
      <c r="B117" s="19" t="s">
        <v>95</v>
      </c>
      <c r="C117" s="19" t="s">
        <v>90</v>
      </c>
      <c r="D117" s="19" t="s">
        <v>91</v>
      </c>
      <c r="E117" s="20">
        <v>0.0</v>
      </c>
      <c r="F117" s="20">
        <v>1.25</v>
      </c>
      <c r="G117" s="25">
        <v>1.0</v>
      </c>
      <c r="H117" s="20">
        <f t="shared" si="1"/>
        <v>1.25</v>
      </c>
      <c r="I117" s="19"/>
    </row>
    <row r="118" ht="23.25" customHeight="1">
      <c r="A118" s="24">
        <v>45902.0</v>
      </c>
      <c r="B118" s="19" t="s">
        <v>176</v>
      </c>
      <c r="C118" s="19" t="s">
        <v>99</v>
      </c>
      <c r="D118" s="19" t="s">
        <v>159</v>
      </c>
      <c r="E118" s="20">
        <v>355.58</v>
      </c>
      <c r="F118" s="20">
        <v>0.0</v>
      </c>
      <c r="G118" s="25">
        <v>1.0</v>
      </c>
      <c r="H118" s="20">
        <f t="shared" si="1"/>
        <v>355.58</v>
      </c>
      <c r="I118" s="19" t="s">
        <v>92</v>
      </c>
    </row>
    <row r="119" ht="23.25" customHeight="1">
      <c r="A119" s="24">
        <v>45911.0</v>
      </c>
      <c r="B119" s="19" t="s">
        <v>177</v>
      </c>
      <c r="C119" s="19" t="s">
        <v>150</v>
      </c>
      <c r="D119" s="19" t="s">
        <v>151</v>
      </c>
      <c r="E119" s="20">
        <v>106.0</v>
      </c>
      <c r="F119" s="20">
        <v>0.0</v>
      </c>
      <c r="G119" s="25">
        <v>1.0</v>
      </c>
      <c r="H119" s="20">
        <f t="shared" si="1"/>
        <v>106</v>
      </c>
      <c r="I119" s="19" t="s">
        <v>92</v>
      </c>
    </row>
    <row r="120" ht="23.25" customHeight="1">
      <c r="A120" s="24">
        <v>45911.0</v>
      </c>
      <c r="B120" s="19" t="s">
        <v>178</v>
      </c>
      <c r="C120" s="19" t="s">
        <v>128</v>
      </c>
      <c r="D120" s="19" t="s">
        <v>179</v>
      </c>
      <c r="E120" s="20">
        <v>88.0</v>
      </c>
      <c r="F120" s="20">
        <v>0.0</v>
      </c>
      <c r="G120" s="25">
        <v>1.0</v>
      </c>
      <c r="H120" s="20">
        <f t="shared" si="1"/>
        <v>88</v>
      </c>
      <c r="I120" s="19" t="s">
        <v>92</v>
      </c>
    </row>
    <row r="121" ht="23.25" customHeight="1">
      <c r="A121" s="24">
        <v>45912.0</v>
      </c>
      <c r="B121" s="19" t="s">
        <v>180</v>
      </c>
      <c r="C121" s="19" t="s">
        <v>150</v>
      </c>
      <c r="D121" s="19" t="s">
        <v>151</v>
      </c>
      <c r="E121" s="20">
        <v>207.2</v>
      </c>
      <c r="F121" s="20">
        <v>0.0</v>
      </c>
      <c r="G121" s="25">
        <v>1.0</v>
      </c>
      <c r="H121" s="20">
        <f t="shared" si="1"/>
        <v>207.2</v>
      </c>
      <c r="I121" s="19" t="s">
        <v>92</v>
      </c>
    </row>
    <row r="122" ht="23.25" customHeight="1">
      <c r="A122" s="24">
        <v>45912.0</v>
      </c>
      <c r="B122" s="19" t="s">
        <v>181</v>
      </c>
      <c r="C122" s="19" t="s">
        <v>147</v>
      </c>
      <c r="D122" s="19" t="s">
        <v>148</v>
      </c>
      <c r="E122" s="20">
        <v>347.7</v>
      </c>
      <c r="F122" s="20">
        <v>0.0</v>
      </c>
      <c r="G122" s="25">
        <v>1.0</v>
      </c>
      <c r="H122" s="20">
        <f t="shared" si="1"/>
        <v>347.7</v>
      </c>
      <c r="I122" s="19" t="s">
        <v>92</v>
      </c>
    </row>
    <row r="123" ht="23.25" customHeight="1">
      <c r="A123" s="24">
        <v>45913.0</v>
      </c>
      <c r="B123" s="19" t="s">
        <v>182</v>
      </c>
      <c r="C123" s="19" t="s">
        <v>166</v>
      </c>
      <c r="D123" s="19" t="s">
        <v>183</v>
      </c>
      <c r="E123" s="20">
        <v>10.0</v>
      </c>
      <c r="F123" s="20">
        <v>0.0</v>
      </c>
      <c r="G123" s="25">
        <v>1.0</v>
      </c>
      <c r="H123" s="20">
        <f t="shared" si="1"/>
        <v>10</v>
      </c>
      <c r="I123" s="19" t="s">
        <v>92</v>
      </c>
    </row>
    <row r="124" ht="23.25" customHeight="1">
      <c r="A124" s="24">
        <v>45917.0</v>
      </c>
      <c r="B124" s="19" t="s">
        <v>184</v>
      </c>
      <c r="C124" s="19" t="s">
        <v>128</v>
      </c>
      <c r="D124" s="19" t="s">
        <v>179</v>
      </c>
      <c r="E124" s="20">
        <v>168.0</v>
      </c>
      <c r="F124" s="20">
        <v>0.0</v>
      </c>
      <c r="G124" s="25">
        <v>1.0</v>
      </c>
      <c r="H124" s="20">
        <f t="shared" si="1"/>
        <v>168</v>
      </c>
      <c r="I124" s="19" t="s">
        <v>92</v>
      </c>
    </row>
    <row r="125" ht="23.25" customHeight="1">
      <c r="A125" s="24">
        <v>45917.0</v>
      </c>
      <c r="B125" s="19" t="s">
        <v>184</v>
      </c>
      <c r="C125" s="19" t="s">
        <v>128</v>
      </c>
      <c r="D125" s="19" t="s">
        <v>179</v>
      </c>
      <c r="E125" s="20">
        <v>130.0</v>
      </c>
      <c r="F125" s="20">
        <v>0.0</v>
      </c>
      <c r="G125" s="25">
        <v>1.0</v>
      </c>
      <c r="H125" s="20">
        <f t="shared" si="1"/>
        <v>130</v>
      </c>
      <c r="I125" s="19" t="s">
        <v>92</v>
      </c>
    </row>
    <row r="126" ht="15.0" customHeight="1">
      <c r="A126" s="24">
        <v>45927.0</v>
      </c>
      <c r="B126" s="19" t="s">
        <v>185</v>
      </c>
      <c r="C126" s="19" t="s">
        <v>111</v>
      </c>
      <c r="D126" s="19" t="s">
        <v>112</v>
      </c>
      <c r="E126" s="20">
        <v>10000.0</v>
      </c>
      <c r="F126" s="20">
        <v>40.0</v>
      </c>
      <c r="G126" s="25">
        <v>1.0</v>
      </c>
      <c r="H126" s="20">
        <f t="shared" si="1"/>
        <v>10040</v>
      </c>
      <c r="I126" s="19" t="s">
        <v>92</v>
      </c>
    </row>
    <row r="127" ht="15.0" customHeight="1">
      <c r="A127" s="24">
        <v>45927.0</v>
      </c>
      <c r="B127" s="19" t="s">
        <v>186</v>
      </c>
      <c r="C127" s="19" t="s">
        <v>111</v>
      </c>
      <c r="D127" s="19" t="s">
        <v>112</v>
      </c>
      <c r="E127" s="20">
        <v>25000.0</v>
      </c>
      <c r="F127" s="20">
        <v>40.0</v>
      </c>
      <c r="G127" s="25">
        <v>1.0</v>
      </c>
      <c r="H127" s="20">
        <f t="shared" si="1"/>
        <v>25040</v>
      </c>
      <c r="I127" s="19" t="s">
        <v>92</v>
      </c>
    </row>
    <row r="128" ht="15.0" customHeight="1">
      <c r="A128" s="24">
        <v>45927.0</v>
      </c>
      <c r="B128" s="19" t="s">
        <v>187</v>
      </c>
      <c r="C128" s="19" t="s">
        <v>111</v>
      </c>
      <c r="D128" s="19" t="s">
        <v>112</v>
      </c>
      <c r="E128" s="20">
        <v>25000.0</v>
      </c>
      <c r="F128" s="20">
        <v>40.0</v>
      </c>
      <c r="G128" s="25">
        <v>1.0</v>
      </c>
      <c r="H128" s="20">
        <f t="shared" si="1"/>
        <v>25040</v>
      </c>
      <c r="I128" s="19" t="s">
        <v>92</v>
      </c>
    </row>
    <row r="129" ht="15.0" customHeight="1">
      <c r="A129" s="24">
        <v>45927.0</v>
      </c>
      <c r="B129" s="19" t="s">
        <v>188</v>
      </c>
      <c r="C129" s="19" t="s">
        <v>111</v>
      </c>
      <c r="D129" s="19" t="s">
        <v>112</v>
      </c>
      <c r="E129" s="20">
        <v>25000.0</v>
      </c>
      <c r="F129" s="20">
        <v>40.0</v>
      </c>
      <c r="G129" s="25">
        <v>1.0</v>
      </c>
      <c r="H129" s="20">
        <f t="shared" si="1"/>
        <v>25040</v>
      </c>
      <c r="I129" s="19" t="s">
        <v>92</v>
      </c>
    </row>
    <row r="130" ht="15.0" customHeight="1">
      <c r="A130" s="24">
        <v>45927.0</v>
      </c>
      <c r="B130" s="19" t="s">
        <v>189</v>
      </c>
      <c r="C130" s="19" t="s">
        <v>111</v>
      </c>
      <c r="D130" s="19" t="s">
        <v>112</v>
      </c>
      <c r="E130" s="20">
        <v>300.0</v>
      </c>
      <c r="F130" s="20">
        <v>7.5</v>
      </c>
      <c r="G130" s="25">
        <v>1.0</v>
      </c>
      <c r="H130" s="20">
        <f t="shared" si="1"/>
        <v>307.5</v>
      </c>
      <c r="I130" s="19" t="s">
        <v>92</v>
      </c>
    </row>
    <row r="131" ht="15.0" customHeight="1">
      <c r="A131" s="24">
        <v>45927.0</v>
      </c>
      <c r="B131" s="19" t="s">
        <v>96</v>
      </c>
      <c r="C131" s="19" t="s">
        <v>90</v>
      </c>
      <c r="D131" s="19" t="s">
        <v>91</v>
      </c>
      <c r="E131" s="20">
        <v>0.0</v>
      </c>
      <c r="F131" s="20">
        <v>1.25</v>
      </c>
      <c r="G131" s="25">
        <v>1.0</v>
      </c>
      <c r="H131" s="20">
        <f t="shared" si="1"/>
        <v>1.25</v>
      </c>
      <c r="I131" s="19"/>
    </row>
    <row r="132" ht="15.0" customHeight="1">
      <c r="A132" s="24">
        <v>45927.0</v>
      </c>
      <c r="B132" s="19" t="s">
        <v>190</v>
      </c>
      <c r="C132" s="19" t="s">
        <v>111</v>
      </c>
      <c r="D132" s="19" t="s">
        <v>112</v>
      </c>
      <c r="E132" s="20">
        <v>600.0</v>
      </c>
      <c r="F132" s="20">
        <v>7.5</v>
      </c>
      <c r="G132" s="25">
        <v>1.0</v>
      </c>
      <c r="H132" s="20">
        <f t="shared" si="1"/>
        <v>607.5</v>
      </c>
      <c r="I132" s="19" t="s">
        <v>92</v>
      </c>
    </row>
    <row r="133" ht="15.0" customHeight="1">
      <c r="A133" s="24">
        <v>45927.0</v>
      </c>
      <c r="B133" s="19" t="s">
        <v>96</v>
      </c>
      <c r="C133" s="19" t="s">
        <v>90</v>
      </c>
      <c r="D133" s="19" t="s">
        <v>91</v>
      </c>
      <c r="E133" s="20">
        <v>0.0</v>
      </c>
      <c r="F133" s="20">
        <v>1.25</v>
      </c>
      <c r="G133" s="25">
        <v>1.0</v>
      </c>
      <c r="H133" s="20">
        <f t="shared" si="1"/>
        <v>1.25</v>
      </c>
      <c r="I133" s="19"/>
    </row>
    <row r="134" ht="15.0" customHeight="1">
      <c r="A134" s="24">
        <v>45929.0</v>
      </c>
      <c r="B134" s="19" t="s">
        <v>191</v>
      </c>
      <c r="C134" s="19" t="s">
        <v>111</v>
      </c>
      <c r="D134" s="19" t="s">
        <v>112</v>
      </c>
      <c r="E134" s="20">
        <v>1500.0</v>
      </c>
      <c r="F134" s="20">
        <v>0.0</v>
      </c>
      <c r="G134" s="25">
        <v>1.0</v>
      </c>
      <c r="H134" s="20">
        <f t="shared" si="1"/>
        <v>1500</v>
      </c>
      <c r="I134" s="19" t="s">
        <v>92</v>
      </c>
    </row>
    <row r="135" ht="15.0" customHeight="1">
      <c r="A135" s="24">
        <v>45929.0</v>
      </c>
      <c r="B135" s="19" t="s">
        <v>95</v>
      </c>
      <c r="C135" s="19" t="s">
        <v>90</v>
      </c>
      <c r="D135" s="19" t="s">
        <v>91</v>
      </c>
      <c r="E135" s="20">
        <v>0.0</v>
      </c>
      <c r="F135" s="20">
        <v>1.25</v>
      </c>
      <c r="G135" s="25">
        <v>1.0</v>
      </c>
      <c r="H135" s="20">
        <f t="shared" si="1"/>
        <v>1.25</v>
      </c>
      <c r="I135" s="19"/>
    </row>
    <row r="136" ht="15.0" customHeight="1">
      <c r="A136" s="24">
        <v>45931.0</v>
      </c>
      <c r="B136" s="19" t="s">
        <v>192</v>
      </c>
      <c r="C136" s="19" t="s">
        <v>111</v>
      </c>
      <c r="D136" s="19" t="s">
        <v>112</v>
      </c>
      <c r="E136" s="20">
        <v>150.0</v>
      </c>
      <c r="F136" s="20">
        <v>7.5</v>
      </c>
      <c r="G136" s="25">
        <v>1.0</v>
      </c>
      <c r="H136" s="20">
        <f t="shared" si="1"/>
        <v>157.5</v>
      </c>
      <c r="I136" s="19" t="s">
        <v>92</v>
      </c>
    </row>
    <row r="137" ht="15.0" customHeight="1">
      <c r="A137" s="24">
        <v>45931.0</v>
      </c>
      <c r="B137" s="19" t="s">
        <v>96</v>
      </c>
      <c r="C137" s="19" t="s">
        <v>90</v>
      </c>
      <c r="D137" s="19" t="s">
        <v>91</v>
      </c>
      <c r="E137" s="20">
        <v>0.0</v>
      </c>
      <c r="F137" s="20">
        <v>1.25</v>
      </c>
      <c r="G137" s="25">
        <v>1.0</v>
      </c>
      <c r="H137" s="20">
        <f t="shared" si="1"/>
        <v>1.25</v>
      </c>
      <c r="I137" s="19"/>
    </row>
    <row r="138" ht="23.25" customHeight="1">
      <c r="A138" s="24">
        <v>45931.0</v>
      </c>
      <c r="B138" s="19" t="s">
        <v>193</v>
      </c>
      <c r="C138" s="19" t="s">
        <v>111</v>
      </c>
      <c r="D138" s="19" t="s">
        <v>194</v>
      </c>
      <c r="E138" s="20">
        <v>140.0</v>
      </c>
      <c r="F138" s="20">
        <v>0.0</v>
      </c>
      <c r="G138" s="25">
        <v>1.0</v>
      </c>
      <c r="H138" s="20">
        <f t="shared" si="1"/>
        <v>140</v>
      </c>
      <c r="I138" s="19" t="s">
        <v>92</v>
      </c>
    </row>
    <row r="139" ht="23.25" customHeight="1">
      <c r="A139" s="24">
        <v>45931.0</v>
      </c>
      <c r="B139" s="19" t="s">
        <v>195</v>
      </c>
      <c r="C139" s="19" t="s">
        <v>111</v>
      </c>
      <c r="D139" s="19" t="s">
        <v>194</v>
      </c>
      <c r="E139" s="20">
        <v>207.2</v>
      </c>
      <c r="F139" s="20">
        <v>0.0</v>
      </c>
      <c r="G139" s="25">
        <v>1.0</v>
      </c>
      <c r="H139" s="20">
        <f t="shared" si="1"/>
        <v>207.2</v>
      </c>
      <c r="I139" s="19" t="s">
        <v>92</v>
      </c>
    </row>
    <row r="140" ht="23.25" customHeight="1">
      <c r="A140" s="24">
        <v>45931.0</v>
      </c>
      <c r="B140" s="19" t="s">
        <v>195</v>
      </c>
      <c r="C140" s="19" t="s">
        <v>111</v>
      </c>
      <c r="D140" s="19" t="s">
        <v>194</v>
      </c>
      <c r="E140" s="20">
        <v>215.1</v>
      </c>
      <c r="F140" s="20">
        <v>0.0</v>
      </c>
      <c r="G140" s="25">
        <v>1.0</v>
      </c>
      <c r="H140" s="20">
        <f t="shared" si="1"/>
        <v>215.1</v>
      </c>
      <c r="I140" s="19" t="s">
        <v>92</v>
      </c>
    </row>
    <row r="141" ht="23.25" customHeight="1">
      <c r="A141" s="24">
        <v>45931.0</v>
      </c>
      <c r="B141" s="19" t="s">
        <v>196</v>
      </c>
      <c r="C141" s="19" t="s">
        <v>111</v>
      </c>
      <c r="D141" s="19" t="s">
        <v>194</v>
      </c>
      <c r="E141" s="20">
        <v>704.9</v>
      </c>
      <c r="F141" s="20">
        <v>0.0</v>
      </c>
      <c r="G141" s="25">
        <v>1.0</v>
      </c>
      <c r="H141" s="20">
        <f t="shared" si="1"/>
        <v>704.9</v>
      </c>
      <c r="I141" s="19" t="s">
        <v>92</v>
      </c>
    </row>
    <row r="142" ht="23.25" customHeight="1">
      <c r="A142" s="24">
        <v>45931.0</v>
      </c>
      <c r="B142" s="19" t="s">
        <v>197</v>
      </c>
      <c r="C142" s="19" t="s">
        <v>111</v>
      </c>
      <c r="D142" s="19" t="s">
        <v>112</v>
      </c>
      <c r="E142" s="20">
        <v>428.0</v>
      </c>
      <c r="F142" s="20">
        <v>0.0</v>
      </c>
      <c r="G142" s="25">
        <v>1.0</v>
      </c>
      <c r="H142" s="20">
        <f t="shared" si="1"/>
        <v>428</v>
      </c>
      <c r="I142" s="19" t="s">
        <v>92</v>
      </c>
    </row>
    <row r="143" ht="15.0" customHeight="1">
      <c r="A143" s="24">
        <v>45931.0</v>
      </c>
      <c r="B143" s="19" t="s">
        <v>173</v>
      </c>
      <c r="C143" s="19" t="s">
        <v>90</v>
      </c>
      <c r="D143" s="19" t="s">
        <v>91</v>
      </c>
      <c r="E143" s="20">
        <v>8.89</v>
      </c>
      <c r="F143" s="20">
        <v>0.0</v>
      </c>
      <c r="G143" s="25">
        <v>1.0</v>
      </c>
      <c r="H143" s="20">
        <f t="shared" si="1"/>
        <v>8.89</v>
      </c>
      <c r="I143" s="19" t="s">
        <v>92</v>
      </c>
    </row>
    <row r="144" ht="15.0" customHeight="1">
      <c r="A144" s="24">
        <v>45931.0</v>
      </c>
      <c r="B144" s="19" t="s">
        <v>102</v>
      </c>
      <c r="C144" s="19" t="s">
        <v>90</v>
      </c>
      <c r="D144" s="19" t="s">
        <v>91</v>
      </c>
      <c r="E144" s="20">
        <v>185.0</v>
      </c>
      <c r="F144" s="20">
        <v>0.0</v>
      </c>
      <c r="G144" s="25">
        <v>1.0</v>
      </c>
      <c r="H144" s="20">
        <f t="shared" si="1"/>
        <v>185</v>
      </c>
      <c r="I144" s="19" t="s">
        <v>92</v>
      </c>
    </row>
    <row r="145" ht="15.0" customHeight="1">
      <c r="A145" s="24">
        <v>45931.0</v>
      </c>
      <c r="B145" s="19" t="s">
        <v>101</v>
      </c>
      <c r="C145" s="19" t="s">
        <v>90</v>
      </c>
      <c r="D145" s="19" t="s">
        <v>91</v>
      </c>
      <c r="E145" s="20">
        <v>200.0</v>
      </c>
      <c r="F145" s="20">
        <v>0.0</v>
      </c>
      <c r="G145" s="25">
        <v>1.0</v>
      </c>
      <c r="H145" s="20">
        <f t="shared" si="1"/>
        <v>200</v>
      </c>
      <c r="I145" s="19" t="s">
        <v>92</v>
      </c>
    </row>
    <row r="146" ht="23.25" customHeight="1">
      <c r="A146" s="24">
        <v>45932.0</v>
      </c>
      <c r="B146" s="19" t="s">
        <v>198</v>
      </c>
      <c r="C146" s="19" t="s">
        <v>147</v>
      </c>
      <c r="D146" s="19" t="s">
        <v>148</v>
      </c>
      <c r="E146" s="20">
        <v>132.93</v>
      </c>
      <c r="F146" s="20">
        <v>0.0</v>
      </c>
      <c r="G146" s="25">
        <v>1.0</v>
      </c>
      <c r="H146" s="20">
        <f t="shared" si="1"/>
        <v>132.93</v>
      </c>
      <c r="I146" s="19" t="s">
        <v>92</v>
      </c>
    </row>
    <row r="147" ht="23.25" customHeight="1">
      <c r="A147" s="24">
        <v>45932.0</v>
      </c>
      <c r="B147" s="19" t="s">
        <v>199</v>
      </c>
      <c r="C147" s="19" t="s">
        <v>99</v>
      </c>
      <c r="D147" s="19" t="s">
        <v>159</v>
      </c>
      <c r="E147" s="20">
        <v>348.18</v>
      </c>
      <c r="F147" s="20">
        <v>0.0</v>
      </c>
      <c r="G147" s="25">
        <v>1.0</v>
      </c>
      <c r="H147" s="20">
        <f t="shared" si="1"/>
        <v>348.18</v>
      </c>
      <c r="I147" s="19" t="s">
        <v>92</v>
      </c>
    </row>
    <row r="148" ht="23.25" customHeight="1">
      <c r="A148" s="24">
        <v>45932.0</v>
      </c>
      <c r="B148" s="19" t="s">
        <v>200</v>
      </c>
      <c r="C148" s="19" t="s">
        <v>128</v>
      </c>
      <c r="D148" s="19" t="s">
        <v>179</v>
      </c>
      <c r="E148" s="20">
        <v>58.0</v>
      </c>
      <c r="F148" s="20">
        <v>0.0</v>
      </c>
      <c r="G148" s="25">
        <v>1.0</v>
      </c>
      <c r="H148" s="20">
        <f t="shared" si="1"/>
        <v>58</v>
      </c>
      <c r="I148" s="19" t="s">
        <v>92</v>
      </c>
    </row>
    <row r="149" ht="15.0" customHeight="1">
      <c r="A149" s="24">
        <v>45933.0</v>
      </c>
      <c r="B149" s="19" t="s">
        <v>201</v>
      </c>
      <c r="C149" s="19" t="s">
        <v>111</v>
      </c>
      <c r="D149" s="19" t="s">
        <v>112</v>
      </c>
      <c r="E149" s="20">
        <v>1200.0</v>
      </c>
      <c r="F149" s="20">
        <v>7.5</v>
      </c>
      <c r="G149" s="25">
        <v>1.0</v>
      </c>
      <c r="H149" s="20">
        <f t="shared" si="1"/>
        <v>1207.5</v>
      </c>
      <c r="I149" s="19" t="s">
        <v>92</v>
      </c>
    </row>
    <row r="150" ht="15.0" customHeight="1">
      <c r="A150" s="24">
        <v>45933.0</v>
      </c>
      <c r="B150" s="19" t="s">
        <v>95</v>
      </c>
      <c r="C150" s="19" t="s">
        <v>90</v>
      </c>
      <c r="D150" s="19" t="s">
        <v>91</v>
      </c>
      <c r="E150" s="20">
        <v>0.0</v>
      </c>
      <c r="F150" s="20">
        <v>1.25</v>
      </c>
      <c r="G150" s="25">
        <v>1.0</v>
      </c>
      <c r="H150" s="20">
        <f t="shared" si="1"/>
        <v>1.25</v>
      </c>
      <c r="I150" s="19"/>
    </row>
    <row r="151" ht="15.0" customHeight="1">
      <c r="A151" s="24">
        <v>45933.0</v>
      </c>
      <c r="B151" s="19" t="s">
        <v>96</v>
      </c>
      <c r="C151" s="19" t="s">
        <v>90</v>
      </c>
      <c r="D151" s="19" t="s">
        <v>91</v>
      </c>
      <c r="E151" s="20">
        <v>0.0</v>
      </c>
      <c r="F151" s="20">
        <v>1.25</v>
      </c>
      <c r="G151" s="25">
        <v>1.0</v>
      </c>
      <c r="H151" s="20">
        <f t="shared" si="1"/>
        <v>1.25</v>
      </c>
      <c r="I151" s="19"/>
    </row>
    <row r="152" ht="15.0" customHeight="1">
      <c r="A152" s="26">
        <v>45933.0</v>
      </c>
      <c r="B152" s="27" t="s">
        <v>202</v>
      </c>
      <c r="C152" s="27" t="s">
        <v>203</v>
      </c>
      <c r="D152" s="27" t="s">
        <v>204</v>
      </c>
      <c r="E152" s="28">
        <v>3000.0</v>
      </c>
      <c r="F152" s="28">
        <v>0.0</v>
      </c>
      <c r="G152" s="29">
        <v>0.0</v>
      </c>
      <c r="H152" s="28">
        <f t="shared" si="1"/>
        <v>0</v>
      </c>
      <c r="I152" s="27" t="s">
        <v>92</v>
      </c>
    </row>
    <row r="153" ht="15.0" customHeight="1">
      <c r="A153" s="24">
        <v>45933.0</v>
      </c>
      <c r="B153" s="19" t="s">
        <v>95</v>
      </c>
      <c r="C153" s="19" t="s">
        <v>90</v>
      </c>
      <c r="D153" s="19" t="s">
        <v>91</v>
      </c>
      <c r="E153" s="20">
        <v>0.0</v>
      </c>
      <c r="F153" s="20">
        <v>1.25</v>
      </c>
      <c r="G153" s="25">
        <v>1.0</v>
      </c>
      <c r="H153" s="20">
        <f t="shared" si="1"/>
        <v>1.25</v>
      </c>
      <c r="I153" s="19"/>
    </row>
    <row r="154" ht="15.0" customHeight="1">
      <c r="A154" s="26">
        <v>45933.0</v>
      </c>
      <c r="B154" s="27" t="s">
        <v>97</v>
      </c>
      <c r="C154" s="27" t="s">
        <v>94</v>
      </c>
      <c r="D154" s="27" t="s">
        <v>94</v>
      </c>
      <c r="E154" s="28">
        <v>15000.0</v>
      </c>
      <c r="F154" s="28">
        <v>0.0</v>
      </c>
      <c r="G154" s="29">
        <v>0.0</v>
      </c>
      <c r="H154" s="28">
        <f t="shared" si="1"/>
        <v>0</v>
      </c>
      <c r="I154" s="27" t="s">
        <v>92</v>
      </c>
    </row>
    <row r="155" ht="15.0" customHeight="1">
      <c r="A155" s="24">
        <v>45933.0</v>
      </c>
      <c r="B155" s="19" t="s">
        <v>95</v>
      </c>
      <c r="C155" s="19" t="s">
        <v>90</v>
      </c>
      <c r="D155" s="19" t="s">
        <v>91</v>
      </c>
      <c r="E155" s="20">
        <v>0.0</v>
      </c>
      <c r="F155" s="20">
        <v>1.25</v>
      </c>
      <c r="G155" s="25">
        <v>1.0</v>
      </c>
      <c r="H155" s="20">
        <f t="shared" si="1"/>
        <v>1.25</v>
      </c>
      <c r="I155" s="19"/>
    </row>
    <row r="156" ht="23.25" customHeight="1">
      <c r="A156" s="24">
        <v>45933.0</v>
      </c>
      <c r="B156" s="19" t="s">
        <v>205</v>
      </c>
      <c r="C156" s="19" t="s">
        <v>111</v>
      </c>
      <c r="D156" s="19" t="s">
        <v>194</v>
      </c>
      <c r="E156" s="20">
        <v>200.0</v>
      </c>
      <c r="F156" s="20">
        <v>0.0</v>
      </c>
      <c r="G156" s="25">
        <v>1.0</v>
      </c>
      <c r="H156" s="20">
        <f t="shared" si="1"/>
        <v>200</v>
      </c>
      <c r="I156" s="19" t="s">
        <v>92</v>
      </c>
    </row>
    <row r="157" ht="23.25" customHeight="1">
      <c r="A157" s="24">
        <v>45933.0</v>
      </c>
      <c r="B157" s="19" t="s">
        <v>206</v>
      </c>
      <c r="C157" s="19" t="s">
        <v>128</v>
      </c>
      <c r="D157" s="19" t="s">
        <v>179</v>
      </c>
      <c r="E157" s="20">
        <v>56.0</v>
      </c>
      <c r="F157" s="20">
        <v>0.0</v>
      </c>
      <c r="G157" s="25">
        <v>1.0</v>
      </c>
      <c r="H157" s="20">
        <f t="shared" si="1"/>
        <v>56</v>
      </c>
      <c r="I157" s="19" t="s">
        <v>92</v>
      </c>
    </row>
    <row r="158" ht="23.25" customHeight="1">
      <c r="A158" s="24">
        <v>45933.0</v>
      </c>
      <c r="B158" s="19" t="s">
        <v>207</v>
      </c>
      <c r="C158" s="19" t="s">
        <v>99</v>
      </c>
      <c r="D158" s="19" t="s">
        <v>175</v>
      </c>
      <c r="E158" s="20">
        <v>503.64</v>
      </c>
      <c r="F158" s="20">
        <v>12.59</v>
      </c>
      <c r="G158" s="25">
        <v>1.0</v>
      </c>
      <c r="H158" s="20">
        <f t="shared" si="1"/>
        <v>516.23</v>
      </c>
      <c r="I158" s="19" t="s">
        <v>92</v>
      </c>
    </row>
    <row r="159" ht="23.25" customHeight="1">
      <c r="A159" s="24">
        <v>45933.0</v>
      </c>
      <c r="B159" s="19" t="s">
        <v>206</v>
      </c>
      <c r="C159" s="19" t="s">
        <v>128</v>
      </c>
      <c r="D159" s="19" t="s">
        <v>179</v>
      </c>
      <c r="E159" s="20">
        <v>45.0</v>
      </c>
      <c r="F159" s="20">
        <v>0.0</v>
      </c>
      <c r="G159" s="25">
        <v>1.0</v>
      </c>
      <c r="H159" s="20">
        <f t="shared" si="1"/>
        <v>45</v>
      </c>
      <c r="I159" s="19" t="s">
        <v>92</v>
      </c>
    </row>
    <row r="160" ht="23.25" customHeight="1">
      <c r="A160" s="24">
        <v>45933.0</v>
      </c>
      <c r="B160" s="19" t="s">
        <v>206</v>
      </c>
      <c r="C160" s="19" t="s">
        <v>128</v>
      </c>
      <c r="D160" s="19" t="s">
        <v>179</v>
      </c>
      <c r="E160" s="20">
        <v>62.0</v>
      </c>
      <c r="F160" s="20">
        <v>0.0</v>
      </c>
      <c r="G160" s="25">
        <v>1.0</v>
      </c>
      <c r="H160" s="20">
        <f t="shared" si="1"/>
        <v>62</v>
      </c>
      <c r="I160" s="19" t="s">
        <v>92</v>
      </c>
    </row>
    <row r="161" ht="23.25" customHeight="1">
      <c r="A161" s="24">
        <v>45935.0</v>
      </c>
      <c r="B161" s="19" t="s">
        <v>208</v>
      </c>
      <c r="C161" s="19" t="s">
        <v>128</v>
      </c>
      <c r="D161" s="19" t="s">
        <v>179</v>
      </c>
      <c r="E161" s="20">
        <v>40.0</v>
      </c>
      <c r="F161" s="20">
        <v>0.0</v>
      </c>
      <c r="G161" s="25">
        <v>1.0</v>
      </c>
      <c r="H161" s="20">
        <f t="shared" si="1"/>
        <v>40</v>
      </c>
      <c r="I161" s="19" t="s">
        <v>92</v>
      </c>
    </row>
    <row r="162" ht="23.25" customHeight="1">
      <c r="A162" s="24">
        <v>45935.0</v>
      </c>
      <c r="B162" s="19" t="s">
        <v>208</v>
      </c>
      <c r="C162" s="19" t="s">
        <v>128</v>
      </c>
      <c r="D162" s="19" t="s">
        <v>179</v>
      </c>
      <c r="E162" s="20">
        <v>72.0</v>
      </c>
      <c r="F162" s="20">
        <v>0.0</v>
      </c>
      <c r="G162" s="25">
        <v>1.0</v>
      </c>
      <c r="H162" s="20">
        <f t="shared" si="1"/>
        <v>72</v>
      </c>
      <c r="I162" s="19" t="s">
        <v>92</v>
      </c>
    </row>
    <row r="163" ht="23.25" customHeight="1">
      <c r="A163" s="24">
        <v>45935.0</v>
      </c>
      <c r="B163" s="19" t="s">
        <v>208</v>
      </c>
      <c r="C163" s="19" t="s">
        <v>128</v>
      </c>
      <c r="D163" s="19" t="s">
        <v>179</v>
      </c>
      <c r="E163" s="20">
        <v>60.0</v>
      </c>
      <c r="F163" s="20">
        <v>8.0</v>
      </c>
      <c r="G163" s="25">
        <v>1.0</v>
      </c>
      <c r="H163" s="20">
        <f t="shared" si="1"/>
        <v>68</v>
      </c>
      <c r="I163" s="19" t="s">
        <v>92</v>
      </c>
    </row>
    <row r="164" ht="23.25" customHeight="1">
      <c r="A164" s="24">
        <v>45935.0</v>
      </c>
      <c r="B164" s="19" t="s">
        <v>208</v>
      </c>
      <c r="C164" s="19" t="s">
        <v>128</v>
      </c>
      <c r="D164" s="19" t="s">
        <v>179</v>
      </c>
      <c r="E164" s="20">
        <v>59.0</v>
      </c>
      <c r="F164" s="20">
        <v>8.0</v>
      </c>
      <c r="G164" s="25">
        <v>1.0</v>
      </c>
      <c r="H164" s="20">
        <f t="shared" si="1"/>
        <v>67</v>
      </c>
      <c r="I164" s="19" t="s">
        <v>92</v>
      </c>
    </row>
    <row r="165" ht="15.0" customHeight="1">
      <c r="A165" s="24">
        <v>45938.0</v>
      </c>
      <c r="B165" s="19" t="s">
        <v>95</v>
      </c>
      <c r="C165" s="19" t="s">
        <v>90</v>
      </c>
      <c r="D165" s="19" t="s">
        <v>91</v>
      </c>
      <c r="E165" s="20">
        <v>0.0</v>
      </c>
      <c r="F165" s="20">
        <v>1.25</v>
      </c>
      <c r="G165" s="25">
        <v>1.0</v>
      </c>
      <c r="H165" s="20">
        <f t="shared" si="1"/>
        <v>1.25</v>
      </c>
      <c r="I165" s="19"/>
    </row>
    <row r="166" ht="15.0" customHeight="1">
      <c r="A166" s="24">
        <v>45938.0</v>
      </c>
      <c r="B166" s="19" t="s">
        <v>209</v>
      </c>
      <c r="C166" s="19" t="s">
        <v>90</v>
      </c>
      <c r="D166" s="19" t="s">
        <v>91</v>
      </c>
      <c r="E166" s="20">
        <v>0.0</v>
      </c>
      <c r="F166" s="20">
        <v>13.0</v>
      </c>
      <c r="G166" s="25">
        <v>1.0</v>
      </c>
      <c r="H166" s="20">
        <f t="shared" si="1"/>
        <v>13</v>
      </c>
      <c r="I166" s="19"/>
    </row>
    <row r="167" ht="23.25" customHeight="1">
      <c r="A167" s="24">
        <v>45938.0</v>
      </c>
      <c r="B167" s="19" t="s">
        <v>210</v>
      </c>
      <c r="C167" s="19" t="s">
        <v>128</v>
      </c>
      <c r="D167" s="19" t="s">
        <v>179</v>
      </c>
      <c r="E167" s="20">
        <v>57.0</v>
      </c>
      <c r="F167" s="20">
        <v>8.0</v>
      </c>
      <c r="G167" s="25">
        <v>1.0</v>
      </c>
      <c r="H167" s="20">
        <f t="shared" si="1"/>
        <v>65</v>
      </c>
      <c r="I167" s="19" t="s">
        <v>92</v>
      </c>
    </row>
    <row r="168" ht="23.25" customHeight="1">
      <c r="A168" s="24">
        <v>45938.0</v>
      </c>
      <c r="B168" s="19" t="s">
        <v>210</v>
      </c>
      <c r="C168" s="19" t="s">
        <v>128</v>
      </c>
      <c r="D168" s="19" t="s">
        <v>179</v>
      </c>
      <c r="E168" s="20">
        <v>111.0</v>
      </c>
      <c r="F168" s="20">
        <v>8.0</v>
      </c>
      <c r="G168" s="25">
        <v>1.0</v>
      </c>
      <c r="H168" s="20">
        <f t="shared" si="1"/>
        <v>119</v>
      </c>
      <c r="I168" s="19" t="s">
        <v>92</v>
      </c>
    </row>
    <row r="169" ht="15.0" customHeight="1">
      <c r="A169" s="24">
        <v>45939.0</v>
      </c>
      <c r="B169" s="19" t="s">
        <v>211</v>
      </c>
      <c r="C169" s="19" t="s">
        <v>212</v>
      </c>
      <c r="D169" s="19" t="s">
        <v>213</v>
      </c>
      <c r="E169" s="20">
        <v>1500.0</v>
      </c>
      <c r="F169" s="20">
        <v>7.5</v>
      </c>
      <c r="G169" s="25">
        <v>1.0</v>
      </c>
      <c r="H169" s="20">
        <f t="shared" si="1"/>
        <v>1507.5</v>
      </c>
      <c r="I169" s="19" t="s">
        <v>92</v>
      </c>
    </row>
    <row r="170" ht="15.0" customHeight="1">
      <c r="A170" s="24">
        <v>45939.0</v>
      </c>
      <c r="B170" s="19" t="s">
        <v>96</v>
      </c>
      <c r="C170" s="19" t="s">
        <v>90</v>
      </c>
      <c r="D170" s="19" t="s">
        <v>91</v>
      </c>
      <c r="E170" s="20">
        <v>0.0</v>
      </c>
      <c r="F170" s="20">
        <v>1.25</v>
      </c>
      <c r="G170" s="25">
        <v>1.0</v>
      </c>
      <c r="H170" s="20">
        <f t="shared" si="1"/>
        <v>1.25</v>
      </c>
      <c r="I170" s="19"/>
    </row>
    <row r="171" ht="15.0" customHeight="1">
      <c r="A171" s="24">
        <v>45939.0</v>
      </c>
      <c r="B171" s="19" t="s">
        <v>211</v>
      </c>
      <c r="C171" s="19" t="s">
        <v>212</v>
      </c>
      <c r="D171" s="19" t="s">
        <v>213</v>
      </c>
      <c r="E171" s="20">
        <v>1350.0</v>
      </c>
      <c r="F171" s="20">
        <v>7.5</v>
      </c>
      <c r="G171" s="25">
        <v>1.0</v>
      </c>
      <c r="H171" s="20">
        <f t="shared" si="1"/>
        <v>1357.5</v>
      </c>
      <c r="I171" s="19" t="s">
        <v>92</v>
      </c>
    </row>
    <row r="172" ht="15.0" customHeight="1">
      <c r="A172" s="24">
        <v>45939.0</v>
      </c>
      <c r="B172" s="19" t="s">
        <v>95</v>
      </c>
      <c r="C172" s="19" t="s">
        <v>90</v>
      </c>
      <c r="D172" s="19" t="s">
        <v>91</v>
      </c>
      <c r="E172" s="20">
        <v>0.0</v>
      </c>
      <c r="F172" s="20">
        <v>1.25</v>
      </c>
      <c r="G172" s="25">
        <v>1.0</v>
      </c>
      <c r="H172" s="20">
        <f t="shared" si="1"/>
        <v>1.25</v>
      </c>
      <c r="I172" s="19"/>
    </row>
    <row r="173" ht="15.0" customHeight="1">
      <c r="A173" s="24">
        <v>45939.0</v>
      </c>
      <c r="B173" s="19" t="s">
        <v>96</v>
      </c>
      <c r="C173" s="19" t="s">
        <v>90</v>
      </c>
      <c r="D173" s="19" t="s">
        <v>91</v>
      </c>
      <c r="E173" s="20">
        <v>0.0</v>
      </c>
      <c r="F173" s="20">
        <v>1.25</v>
      </c>
      <c r="G173" s="25">
        <v>1.0</v>
      </c>
      <c r="H173" s="20">
        <f t="shared" si="1"/>
        <v>1.25</v>
      </c>
      <c r="I173" s="19"/>
    </row>
    <row r="174" ht="23.25" customHeight="1">
      <c r="A174" s="24">
        <v>45939.0</v>
      </c>
      <c r="B174" s="19" t="s">
        <v>214</v>
      </c>
      <c r="C174" s="19" t="s">
        <v>128</v>
      </c>
      <c r="D174" s="19" t="s">
        <v>179</v>
      </c>
      <c r="E174" s="20">
        <v>47.0</v>
      </c>
      <c r="F174" s="20">
        <v>8.0</v>
      </c>
      <c r="G174" s="25">
        <v>1.0</v>
      </c>
      <c r="H174" s="20">
        <f t="shared" si="1"/>
        <v>55</v>
      </c>
      <c r="I174" s="19" t="s">
        <v>92</v>
      </c>
    </row>
    <row r="175" ht="15.0" customHeight="1">
      <c r="A175" s="24">
        <v>45940.0</v>
      </c>
      <c r="B175" s="19" t="s">
        <v>215</v>
      </c>
      <c r="C175" s="19" t="s">
        <v>131</v>
      </c>
      <c r="D175" s="19" t="s">
        <v>132</v>
      </c>
      <c r="E175" s="20">
        <v>1500.0</v>
      </c>
      <c r="F175" s="20">
        <v>18.0</v>
      </c>
      <c r="G175" s="25">
        <v>1.0</v>
      </c>
      <c r="H175" s="20">
        <f t="shared" si="1"/>
        <v>1518</v>
      </c>
      <c r="I175" s="19" t="s">
        <v>92</v>
      </c>
    </row>
    <row r="176" ht="15.0" customHeight="1">
      <c r="A176" s="24">
        <v>45940.0</v>
      </c>
      <c r="B176" s="19" t="s">
        <v>95</v>
      </c>
      <c r="C176" s="19" t="s">
        <v>90</v>
      </c>
      <c r="D176" s="19" t="s">
        <v>91</v>
      </c>
      <c r="E176" s="20">
        <v>0.0</v>
      </c>
      <c r="F176" s="20">
        <v>1.25</v>
      </c>
      <c r="G176" s="25">
        <v>1.0</v>
      </c>
      <c r="H176" s="20">
        <f t="shared" si="1"/>
        <v>1.25</v>
      </c>
      <c r="I176" s="19"/>
    </row>
    <row r="177" ht="23.25" customHeight="1">
      <c r="A177" s="24">
        <v>45940.0</v>
      </c>
      <c r="B177" s="19" t="s">
        <v>216</v>
      </c>
      <c r="C177" s="19" t="s">
        <v>150</v>
      </c>
      <c r="D177" s="19" t="s">
        <v>151</v>
      </c>
      <c r="E177" s="20">
        <v>36.5</v>
      </c>
      <c r="F177" s="20">
        <v>8.0</v>
      </c>
      <c r="G177" s="25">
        <v>1.0</v>
      </c>
      <c r="H177" s="20">
        <f t="shared" si="1"/>
        <v>44.5</v>
      </c>
      <c r="I177" s="19" t="s">
        <v>92</v>
      </c>
    </row>
    <row r="178" ht="23.25" customHeight="1">
      <c r="A178" s="24">
        <v>45940.0</v>
      </c>
      <c r="B178" s="19" t="s">
        <v>217</v>
      </c>
      <c r="C178" s="19" t="s">
        <v>128</v>
      </c>
      <c r="D178" s="19" t="s">
        <v>179</v>
      </c>
      <c r="E178" s="20">
        <v>58.0</v>
      </c>
      <c r="F178" s="20">
        <v>8.0</v>
      </c>
      <c r="G178" s="25">
        <v>1.0</v>
      </c>
      <c r="H178" s="20">
        <f t="shared" si="1"/>
        <v>66</v>
      </c>
      <c r="I178" s="19" t="s">
        <v>92</v>
      </c>
    </row>
    <row r="179" ht="23.25" customHeight="1">
      <c r="A179" s="24">
        <v>45941.0</v>
      </c>
      <c r="B179" s="19" t="s">
        <v>218</v>
      </c>
      <c r="C179" s="19" t="s">
        <v>108</v>
      </c>
      <c r="D179" s="19" t="s">
        <v>155</v>
      </c>
      <c r="E179" s="20">
        <v>47.0</v>
      </c>
      <c r="F179" s="20">
        <v>8.0</v>
      </c>
      <c r="G179" s="25">
        <v>0.5</v>
      </c>
      <c r="H179" s="20">
        <f t="shared" si="1"/>
        <v>27.5</v>
      </c>
      <c r="I179" s="19" t="s">
        <v>92</v>
      </c>
    </row>
    <row r="180" ht="23.25" customHeight="1">
      <c r="A180" s="24">
        <v>45941.0</v>
      </c>
      <c r="B180" s="19" t="s">
        <v>217</v>
      </c>
      <c r="C180" s="19" t="s">
        <v>128</v>
      </c>
      <c r="D180" s="19" t="s">
        <v>179</v>
      </c>
      <c r="E180" s="20">
        <v>42.0</v>
      </c>
      <c r="F180" s="20">
        <v>8.0</v>
      </c>
      <c r="G180" s="25">
        <v>1.0</v>
      </c>
      <c r="H180" s="20">
        <f t="shared" si="1"/>
        <v>50</v>
      </c>
      <c r="I180" s="19" t="s">
        <v>92</v>
      </c>
    </row>
    <row r="181" ht="23.25" customHeight="1">
      <c r="A181" s="24">
        <v>45941.0</v>
      </c>
      <c r="B181" s="19" t="s">
        <v>217</v>
      </c>
      <c r="C181" s="19" t="s">
        <v>128</v>
      </c>
      <c r="D181" s="19" t="s">
        <v>179</v>
      </c>
      <c r="E181" s="20">
        <v>52.0</v>
      </c>
      <c r="F181" s="20">
        <v>8.0</v>
      </c>
      <c r="G181" s="25">
        <v>1.0</v>
      </c>
      <c r="H181" s="20">
        <f t="shared" si="1"/>
        <v>60</v>
      </c>
      <c r="I181" s="19" t="s">
        <v>92</v>
      </c>
    </row>
    <row r="182" ht="23.25" customHeight="1">
      <c r="A182" s="24">
        <v>45941.0</v>
      </c>
      <c r="B182" s="19" t="s">
        <v>219</v>
      </c>
      <c r="C182" s="19" t="s">
        <v>108</v>
      </c>
      <c r="D182" s="19" t="s">
        <v>155</v>
      </c>
      <c r="E182" s="20">
        <v>69.0</v>
      </c>
      <c r="F182" s="20">
        <v>8.0</v>
      </c>
      <c r="G182" s="25">
        <v>0.5</v>
      </c>
      <c r="H182" s="20">
        <f t="shared" si="1"/>
        <v>38.5</v>
      </c>
      <c r="I182" s="19" t="s">
        <v>92</v>
      </c>
    </row>
    <row r="183" ht="23.25" customHeight="1">
      <c r="A183" s="24">
        <v>45941.0</v>
      </c>
      <c r="B183" s="19" t="s">
        <v>220</v>
      </c>
      <c r="C183" s="19" t="s">
        <v>108</v>
      </c>
      <c r="D183" s="19" t="s">
        <v>155</v>
      </c>
      <c r="E183" s="20">
        <v>39.0</v>
      </c>
      <c r="F183" s="20">
        <v>8.0</v>
      </c>
      <c r="G183" s="25">
        <v>0.5</v>
      </c>
      <c r="H183" s="20">
        <f t="shared" si="1"/>
        <v>23.5</v>
      </c>
      <c r="I183" s="19" t="s">
        <v>92</v>
      </c>
    </row>
    <row r="184" ht="23.25" customHeight="1">
      <c r="A184" s="24">
        <v>45941.0</v>
      </c>
      <c r="B184" s="19" t="s">
        <v>221</v>
      </c>
      <c r="C184" s="19" t="s">
        <v>108</v>
      </c>
      <c r="D184" s="19" t="s">
        <v>155</v>
      </c>
      <c r="E184" s="20">
        <v>799.0</v>
      </c>
      <c r="F184" s="20">
        <v>8.0</v>
      </c>
      <c r="G184" s="25">
        <v>0.5</v>
      </c>
      <c r="H184" s="20">
        <f t="shared" si="1"/>
        <v>403.5</v>
      </c>
      <c r="I184" s="19" t="s">
        <v>92</v>
      </c>
    </row>
    <row r="185" ht="23.25" customHeight="1">
      <c r="A185" s="24">
        <v>45942.0</v>
      </c>
      <c r="B185" s="19" t="s">
        <v>222</v>
      </c>
      <c r="C185" s="19" t="s">
        <v>111</v>
      </c>
      <c r="D185" s="19" t="s">
        <v>194</v>
      </c>
      <c r="E185" s="20">
        <v>416.0</v>
      </c>
      <c r="F185" s="20">
        <v>8.0</v>
      </c>
      <c r="G185" s="25">
        <v>1.0</v>
      </c>
      <c r="H185" s="20">
        <f t="shared" si="1"/>
        <v>424</v>
      </c>
      <c r="I185" s="19" t="s">
        <v>92</v>
      </c>
    </row>
    <row r="186" ht="23.25" customHeight="1">
      <c r="A186" s="24">
        <v>45942.0</v>
      </c>
      <c r="B186" s="19" t="s">
        <v>223</v>
      </c>
      <c r="C186" s="19" t="s">
        <v>128</v>
      </c>
      <c r="D186" s="19" t="s">
        <v>179</v>
      </c>
      <c r="E186" s="20">
        <v>44.0</v>
      </c>
      <c r="F186" s="20">
        <v>8.0</v>
      </c>
      <c r="G186" s="25">
        <v>1.0</v>
      </c>
      <c r="H186" s="20">
        <f t="shared" si="1"/>
        <v>52</v>
      </c>
      <c r="I186" s="19" t="s">
        <v>92</v>
      </c>
    </row>
    <row r="187" ht="15.0" customHeight="1">
      <c r="A187" s="24">
        <v>45943.0</v>
      </c>
      <c r="B187" s="19" t="s">
        <v>224</v>
      </c>
      <c r="C187" s="19" t="s">
        <v>111</v>
      </c>
      <c r="D187" s="19" t="s">
        <v>112</v>
      </c>
      <c r="E187" s="20">
        <v>2500.0</v>
      </c>
      <c r="F187" s="20">
        <v>7.5</v>
      </c>
      <c r="G187" s="25">
        <v>1.0</v>
      </c>
      <c r="H187" s="20">
        <f t="shared" si="1"/>
        <v>2507.5</v>
      </c>
      <c r="I187" s="19" t="s">
        <v>92</v>
      </c>
    </row>
    <row r="188" ht="15.0" customHeight="1">
      <c r="A188" s="24">
        <v>45943.0</v>
      </c>
      <c r="B188" s="19" t="s">
        <v>95</v>
      </c>
      <c r="C188" s="19" t="s">
        <v>90</v>
      </c>
      <c r="D188" s="19" t="s">
        <v>91</v>
      </c>
      <c r="E188" s="20">
        <v>0.0</v>
      </c>
      <c r="F188" s="20">
        <v>1.25</v>
      </c>
      <c r="G188" s="25">
        <v>1.0</v>
      </c>
      <c r="H188" s="20">
        <f t="shared" si="1"/>
        <v>1.25</v>
      </c>
      <c r="I188" s="19"/>
    </row>
    <row r="189" ht="15.0" customHeight="1">
      <c r="A189" s="24">
        <v>45943.0</v>
      </c>
      <c r="B189" s="19" t="s">
        <v>96</v>
      </c>
      <c r="C189" s="19" t="s">
        <v>90</v>
      </c>
      <c r="D189" s="19" t="s">
        <v>91</v>
      </c>
      <c r="E189" s="20">
        <v>0.0</v>
      </c>
      <c r="F189" s="20">
        <v>1.25</v>
      </c>
      <c r="G189" s="25">
        <v>1.0</v>
      </c>
      <c r="H189" s="20">
        <f t="shared" si="1"/>
        <v>1.25</v>
      </c>
      <c r="I189" s="19"/>
    </row>
    <row r="190" ht="23.25" customHeight="1">
      <c r="A190" s="24">
        <v>45945.0</v>
      </c>
      <c r="B190" s="19" t="s">
        <v>225</v>
      </c>
      <c r="C190" s="19" t="s">
        <v>128</v>
      </c>
      <c r="D190" s="19" t="s">
        <v>179</v>
      </c>
      <c r="E190" s="20">
        <v>88.0</v>
      </c>
      <c r="F190" s="20">
        <v>8.0</v>
      </c>
      <c r="G190" s="25">
        <v>1.0</v>
      </c>
      <c r="H190" s="20">
        <f t="shared" si="1"/>
        <v>96</v>
      </c>
      <c r="I190" s="19" t="s">
        <v>92</v>
      </c>
    </row>
    <row r="191" ht="23.25" customHeight="1">
      <c r="A191" s="24">
        <v>45947.0</v>
      </c>
      <c r="B191" s="19" t="s">
        <v>226</v>
      </c>
      <c r="C191" s="19" t="s">
        <v>111</v>
      </c>
      <c r="D191" s="19" t="s">
        <v>112</v>
      </c>
      <c r="E191" s="20">
        <v>80.0</v>
      </c>
      <c r="F191" s="20">
        <v>8.0</v>
      </c>
      <c r="G191" s="25">
        <v>1.0</v>
      </c>
      <c r="H191" s="20">
        <f t="shared" si="1"/>
        <v>88</v>
      </c>
      <c r="I191" s="19" t="s">
        <v>92</v>
      </c>
    </row>
    <row r="192" ht="23.25" customHeight="1">
      <c r="A192" s="24">
        <v>45948.0</v>
      </c>
      <c r="B192" s="19" t="s">
        <v>227</v>
      </c>
      <c r="C192" s="19" t="s">
        <v>111</v>
      </c>
      <c r="D192" s="19" t="s">
        <v>194</v>
      </c>
      <c r="E192" s="20">
        <v>200.0</v>
      </c>
      <c r="F192" s="20">
        <v>8.0</v>
      </c>
      <c r="G192" s="25">
        <v>1.0</v>
      </c>
      <c r="H192" s="20">
        <f t="shared" si="1"/>
        <v>208</v>
      </c>
      <c r="I192" s="19" t="s">
        <v>92</v>
      </c>
    </row>
    <row r="193" ht="15.0" customHeight="1">
      <c r="A193" s="24">
        <v>45948.0</v>
      </c>
      <c r="B193" s="19" t="s">
        <v>228</v>
      </c>
      <c r="C193" s="19" t="s">
        <v>229</v>
      </c>
      <c r="D193" s="19" t="s">
        <v>230</v>
      </c>
      <c r="E193" s="20">
        <v>7000.0</v>
      </c>
      <c r="F193" s="20">
        <v>18.0</v>
      </c>
      <c r="G193" s="25">
        <v>1.0</v>
      </c>
      <c r="H193" s="20">
        <f t="shared" si="1"/>
        <v>7018</v>
      </c>
      <c r="I193" s="19" t="s">
        <v>92</v>
      </c>
    </row>
    <row r="194" ht="15.0" customHeight="1">
      <c r="A194" s="24">
        <v>45948.0</v>
      </c>
      <c r="B194" s="19" t="s">
        <v>95</v>
      </c>
      <c r="C194" s="19" t="s">
        <v>90</v>
      </c>
      <c r="D194" s="19" t="s">
        <v>91</v>
      </c>
      <c r="E194" s="20">
        <v>0.0</v>
      </c>
      <c r="F194" s="20">
        <v>1.25</v>
      </c>
      <c r="G194" s="25">
        <v>1.0</v>
      </c>
      <c r="H194" s="20">
        <f t="shared" si="1"/>
        <v>1.25</v>
      </c>
      <c r="I194" s="19"/>
    </row>
    <row r="195" ht="23.25" customHeight="1">
      <c r="A195" s="24">
        <v>45955.0</v>
      </c>
      <c r="B195" s="19" t="s">
        <v>231</v>
      </c>
      <c r="C195" s="19" t="s">
        <v>232</v>
      </c>
      <c r="D195" s="19" t="s">
        <v>233</v>
      </c>
      <c r="E195" s="20">
        <v>1399.0</v>
      </c>
      <c r="F195" s="20">
        <v>8.0</v>
      </c>
      <c r="G195" s="25">
        <v>1.0</v>
      </c>
      <c r="H195" s="20">
        <f t="shared" si="1"/>
        <v>1407</v>
      </c>
      <c r="I195" s="19" t="s">
        <v>92</v>
      </c>
    </row>
    <row r="196" ht="23.25" customHeight="1">
      <c r="A196" s="24">
        <v>45955.0</v>
      </c>
      <c r="B196" s="19" t="s">
        <v>234</v>
      </c>
      <c r="C196" s="19" t="s">
        <v>150</v>
      </c>
      <c r="D196" s="19" t="s">
        <v>151</v>
      </c>
      <c r="E196" s="20">
        <v>265.0</v>
      </c>
      <c r="F196" s="20">
        <v>8.0</v>
      </c>
      <c r="G196" s="25">
        <v>1.0</v>
      </c>
      <c r="H196" s="20">
        <f t="shared" si="1"/>
        <v>273</v>
      </c>
      <c r="I196" s="19" t="s">
        <v>92</v>
      </c>
    </row>
    <row r="197" ht="23.25" customHeight="1">
      <c r="A197" s="24">
        <v>45960.0</v>
      </c>
      <c r="B197" s="19" t="s">
        <v>235</v>
      </c>
      <c r="C197" s="19" t="s">
        <v>111</v>
      </c>
      <c r="D197" s="19" t="s">
        <v>112</v>
      </c>
      <c r="E197" s="20">
        <v>699.0</v>
      </c>
      <c r="F197" s="20">
        <v>8.0</v>
      </c>
      <c r="G197" s="25">
        <v>1.0</v>
      </c>
      <c r="H197" s="20">
        <f t="shared" si="1"/>
        <v>707</v>
      </c>
      <c r="I197" s="19" t="s">
        <v>92</v>
      </c>
    </row>
    <row r="198" ht="15.0" customHeight="1">
      <c r="A198" s="24">
        <v>45961.0</v>
      </c>
      <c r="B198" s="19" t="s">
        <v>236</v>
      </c>
      <c r="C198" s="19" t="s">
        <v>212</v>
      </c>
      <c r="D198" s="19" t="s">
        <v>213</v>
      </c>
      <c r="E198" s="20">
        <v>3000.0</v>
      </c>
      <c r="F198" s="20">
        <v>7.5</v>
      </c>
      <c r="G198" s="25">
        <v>1.0</v>
      </c>
      <c r="H198" s="20">
        <f t="shared" si="1"/>
        <v>3007.5</v>
      </c>
      <c r="I198" s="19" t="s">
        <v>92</v>
      </c>
    </row>
    <row r="199" ht="15.0" customHeight="1">
      <c r="A199" s="24">
        <v>45961.0</v>
      </c>
      <c r="B199" s="19" t="s">
        <v>95</v>
      </c>
      <c r="C199" s="19" t="s">
        <v>90</v>
      </c>
      <c r="D199" s="19" t="s">
        <v>91</v>
      </c>
      <c r="E199" s="20">
        <v>0.0</v>
      </c>
      <c r="F199" s="20">
        <v>1.25</v>
      </c>
      <c r="G199" s="25">
        <v>1.0</v>
      </c>
      <c r="H199" s="20">
        <f t="shared" si="1"/>
        <v>1.25</v>
      </c>
      <c r="I199" s="19"/>
    </row>
    <row r="200" ht="15.0" customHeight="1">
      <c r="A200" s="24">
        <v>45961.0</v>
      </c>
      <c r="B200" s="19" t="s">
        <v>96</v>
      </c>
      <c r="C200" s="19" t="s">
        <v>90</v>
      </c>
      <c r="D200" s="19" t="s">
        <v>91</v>
      </c>
      <c r="E200" s="20">
        <v>0.0</v>
      </c>
      <c r="F200" s="20">
        <v>1.25</v>
      </c>
      <c r="G200" s="25">
        <v>1.0</v>
      </c>
      <c r="H200" s="20">
        <f t="shared" si="1"/>
        <v>1.25</v>
      </c>
      <c r="I200" s="19"/>
    </row>
    <row r="201" ht="15.0" customHeight="1">
      <c r="A201" s="24">
        <v>45961.0</v>
      </c>
      <c r="B201" s="19" t="s">
        <v>236</v>
      </c>
      <c r="C201" s="19" t="s">
        <v>212</v>
      </c>
      <c r="D201" s="19" t="s">
        <v>213</v>
      </c>
      <c r="E201" s="20">
        <v>500.0</v>
      </c>
      <c r="F201" s="20">
        <v>7.5</v>
      </c>
      <c r="G201" s="25">
        <v>1.0</v>
      </c>
      <c r="H201" s="20">
        <f t="shared" si="1"/>
        <v>507.5</v>
      </c>
      <c r="I201" s="19" t="s">
        <v>92</v>
      </c>
    </row>
    <row r="202" ht="15.0" customHeight="1">
      <c r="A202" s="24">
        <v>45961.0</v>
      </c>
      <c r="B202" s="19" t="s">
        <v>95</v>
      </c>
      <c r="C202" s="19" t="s">
        <v>90</v>
      </c>
      <c r="D202" s="19" t="s">
        <v>91</v>
      </c>
      <c r="E202" s="20">
        <v>0.0</v>
      </c>
      <c r="F202" s="20">
        <v>1.25</v>
      </c>
      <c r="G202" s="25">
        <v>1.0</v>
      </c>
      <c r="H202" s="20">
        <f t="shared" si="1"/>
        <v>1.25</v>
      </c>
      <c r="I202" s="19"/>
    </row>
    <row r="203" ht="15.0" customHeight="1">
      <c r="A203" s="24">
        <v>45961.0</v>
      </c>
      <c r="B203" s="19" t="s">
        <v>96</v>
      </c>
      <c r="C203" s="19" t="s">
        <v>90</v>
      </c>
      <c r="D203" s="19" t="s">
        <v>91</v>
      </c>
      <c r="E203" s="20">
        <v>0.0</v>
      </c>
      <c r="F203" s="20">
        <v>1.25</v>
      </c>
      <c r="G203" s="25">
        <v>1.0</v>
      </c>
      <c r="H203" s="20">
        <f t="shared" si="1"/>
        <v>1.25</v>
      </c>
      <c r="I203" s="19"/>
    </row>
    <row r="204" ht="23.25" customHeight="1">
      <c r="A204" s="24">
        <v>45962.0</v>
      </c>
      <c r="B204" s="19" t="s">
        <v>237</v>
      </c>
      <c r="C204" s="19" t="s">
        <v>99</v>
      </c>
      <c r="D204" s="19" t="s">
        <v>159</v>
      </c>
      <c r="E204" s="20">
        <v>345.1</v>
      </c>
      <c r="F204" s="20">
        <v>8.63</v>
      </c>
      <c r="G204" s="25">
        <v>1.0</v>
      </c>
      <c r="H204" s="20">
        <f t="shared" si="1"/>
        <v>353.73</v>
      </c>
      <c r="I204" s="19" t="s">
        <v>92</v>
      </c>
    </row>
    <row r="205" ht="15.0" customHeight="1">
      <c r="A205" s="24">
        <v>45962.0</v>
      </c>
      <c r="B205" s="19" t="s">
        <v>101</v>
      </c>
      <c r="C205" s="19" t="s">
        <v>90</v>
      </c>
      <c r="D205" s="19" t="s">
        <v>91</v>
      </c>
      <c r="E205" s="20">
        <v>200.0</v>
      </c>
      <c r="F205" s="20">
        <v>0.0</v>
      </c>
      <c r="G205" s="25">
        <v>1.0</v>
      </c>
      <c r="H205" s="20">
        <f t="shared" si="1"/>
        <v>200</v>
      </c>
      <c r="I205" s="19" t="s">
        <v>92</v>
      </c>
    </row>
    <row r="206" ht="15.0" customHeight="1">
      <c r="A206" s="24">
        <v>45962.0</v>
      </c>
      <c r="B206" s="19" t="s">
        <v>173</v>
      </c>
      <c r="C206" s="19" t="s">
        <v>90</v>
      </c>
      <c r="D206" s="19" t="s">
        <v>91</v>
      </c>
      <c r="E206" s="20">
        <v>225.29</v>
      </c>
      <c r="F206" s="20">
        <v>0.0</v>
      </c>
      <c r="G206" s="25">
        <v>1.0</v>
      </c>
      <c r="H206" s="20">
        <f t="shared" si="1"/>
        <v>225.29</v>
      </c>
      <c r="I206" s="19" t="s">
        <v>92</v>
      </c>
    </row>
    <row r="207" ht="23.25" customHeight="1">
      <c r="A207" s="24">
        <v>45962.0</v>
      </c>
      <c r="B207" s="19" t="s">
        <v>123</v>
      </c>
      <c r="C207" s="19" t="s">
        <v>90</v>
      </c>
      <c r="D207" s="19" t="s">
        <v>91</v>
      </c>
      <c r="E207" s="20">
        <v>95.5</v>
      </c>
      <c r="F207" s="20">
        <v>0.0</v>
      </c>
      <c r="G207" s="25">
        <v>1.0</v>
      </c>
      <c r="H207" s="20">
        <f t="shared" si="1"/>
        <v>95.5</v>
      </c>
      <c r="I207" s="19" t="s">
        <v>92</v>
      </c>
    </row>
    <row r="208" ht="15.0" customHeight="1">
      <c r="A208" s="24">
        <v>45964.0</v>
      </c>
      <c r="B208" s="19" t="s">
        <v>238</v>
      </c>
      <c r="C208" s="19" t="s">
        <v>229</v>
      </c>
      <c r="D208" s="19" t="s">
        <v>230</v>
      </c>
      <c r="E208" s="20">
        <v>3000.0</v>
      </c>
      <c r="F208" s="20">
        <v>7.5</v>
      </c>
      <c r="G208" s="25">
        <v>1.0</v>
      </c>
      <c r="H208" s="20">
        <f t="shared" si="1"/>
        <v>3007.5</v>
      </c>
      <c r="I208" s="19" t="s">
        <v>92</v>
      </c>
    </row>
    <row r="209" ht="15.0" customHeight="1">
      <c r="A209" s="24">
        <v>45964.0</v>
      </c>
      <c r="B209" s="19" t="s">
        <v>95</v>
      </c>
      <c r="C209" s="19" t="s">
        <v>90</v>
      </c>
      <c r="D209" s="19" t="s">
        <v>91</v>
      </c>
      <c r="E209" s="20">
        <v>0.0</v>
      </c>
      <c r="F209" s="20">
        <v>1.25</v>
      </c>
      <c r="G209" s="25">
        <v>1.0</v>
      </c>
      <c r="H209" s="20">
        <f t="shared" si="1"/>
        <v>1.25</v>
      </c>
      <c r="I209" s="19"/>
    </row>
    <row r="210" ht="15.0" customHeight="1">
      <c r="A210" s="24">
        <v>45964.0</v>
      </c>
      <c r="B210" s="19" t="s">
        <v>96</v>
      </c>
      <c r="C210" s="19" t="s">
        <v>90</v>
      </c>
      <c r="D210" s="19" t="s">
        <v>91</v>
      </c>
      <c r="E210" s="20">
        <v>0.0</v>
      </c>
      <c r="F210" s="20">
        <v>1.25</v>
      </c>
      <c r="G210" s="25">
        <v>1.0</v>
      </c>
      <c r="H210" s="20">
        <f t="shared" si="1"/>
        <v>1.25</v>
      </c>
      <c r="I210" s="19"/>
    </row>
    <row r="211" ht="15.0" customHeight="1">
      <c r="A211" s="24">
        <v>45964.0</v>
      </c>
      <c r="B211" s="19" t="s">
        <v>228</v>
      </c>
      <c r="C211" s="19" t="s">
        <v>229</v>
      </c>
      <c r="D211" s="19" t="s">
        <v>230</v>
      </c>
      <c r="E211" s="20">
        <v>6000.0</v>
      </c>
      <c r="F211" s="20">
        <v>0.0</v>
      </c>
      <c r="G211" s="25">
        <v>1.0</v>
      </c>
      <c r="H211" s="20">
        <f t="shared" si="1"/>
        <v>6000</v>
      </c>
      <c r="I211" s="19" t="s">
        <v>92</v>
      </c>
    </row>
    <row r="212" ht="15.0" customHeight="1">
      <c r="A212" s="24">
        <v>45964.0</v>
      </c>
      <c r="B212" s="19" t="s">
        <v>95</v>
      </c>
      <c r="C212" s="19" t="s">
        <v>90</v>
      </c>
      <c r="D212" s="19" t="s">
        <v>91</v>
      </c>
      <c r="E212" s="20">
        <v>0.0</v>
      </c>
      <c r="F212" s="20">
        <v>1.25</v>
      </c>
      <c r="G212" s="25">
        <v>1.0</v>
      </c>
      <c r="H212" s="20">
        <f t="shared" si="1"/>
        <v>1.25</v>
      </c>
      <c r="I212" s="19"/>
    </row>
    <row r="213" ht="23.25" customHeight="1">
      <c r="A213" s="24">
        <v>45965.0</v>
      </c>
      <c r="B213" s="19" t="s">
        <v>239</v>
      </c>
      <c r="C213" s="19" t="s">
        <v>240</v>
      </c>
      <c r="D213" s="19" t="s">
        <v>241</v>
      </c>
      <c r="E213" s="20">
        <v>1800.0</v>
      </c>
      <c r="F213" s="20">
        <v>7.5</v>
      </c>
      <c r="G213" s="25">
        <v>1.0</v>
      </c>
      <c r="H213" s="20">
        <f t="shared" si="1"/>
        <v>1807.5</v>
      </c>
      <c r="I213" s="19" t="s">
        <v>92</v>
      </c>
    </row>
    <row r="214" ht="15.0" customHeight="1">
      <c r="A214" s="24">
        <v>45965.0</v>
      </c>
      <c r="B214" s="19" t="s">
        <v>228</v>
      </c>
      <c r="C214" s="19" t="s">
        <v>229</v>
      </c>
      <c r="D214" s="19" t="s">
        <v>230</v>
      </c>
      <c r="E214" s="20">
        <v>7000.0</v>
      </c>
      <c r="F214" s="20">
        <v>0.0</v>
      </c>
      <c r="G214" s="25">
        <v>1.0</v>
      </c>
      <c r="H214" s="20">
        <f t="shared" si="1"/>
        <v>7000</v>
      </c>
      <c r="I214" s="19" t="s">
        <v>92</v>
      </c>
    </row>
    <row r="215" ht="15.0" customHeight="1">
      <c r="A215" s="24">
        <v>45965.0</v>
      </c>
      <c r="B215" s="19" t="s">
        <v>95</v>
      </c>
      <c r="C215" s="19" t="s">
        <v>90</v>
      </c>
      <c r="D215" s="19" t="s">
        <v>91</v>
      </c>
      <c r="E215" s="20">
        <v>0.0</v>
      </c>
      <c r="F215" s="20">
        <v>1.25</v>
      </c>
      <c r="G215" s="25">
        <v>1.0</v>
      </c>
      <c r="H215" s="20">
        <f t="shared" si="1"/>
        <v>1.25</v>
      </c>
      <c r="I215" s="19"/>
    </row>
    <row r="216" ht="23.25" customHeight="1">
      <c r="A216" s="24">
        <v>45965.0</v>
      </c>
      <c r="B216" s="19" t="s">
        <v>242</v>
      </c>
      <c r="C216" s="19" t="s">
        <v>99</v>
      </c>
      <c r="D216" s="19" t="s">
        <v>175</v>
      </c>
      <c r="E216" s="20">
        <v>504.31</v>
      </c>
      <c r="F216" s="20">
        <v>12.61</v>
      </c>
      <c r="G216" s="25">
        <v>1.0</v>
      </c>
      <c r="H216" s="20">
        <f t="shared" si="1"/>
        <v>516.92</v>
      </c>
      <c r="I216" s="19" t="s">
        <v>92</v>
      </c>
    </row>
    <row r="217" ht="15.0" customHeight="1">
      <c r="A217" s="24">
        <v>45966.0</v>
      </c>
      <c r="B217" s="19" t="s">
        <v>243</v>
      </c>
      <c r="C217" s="19" t="s">
        <v>111</v>
      </c>
      <c r="D217" s="19" t="s">
        <v>112</v>
      </c>
      <c r="E217" s="20">
        <v>2000.0</v>
      </c>
      <c r="F217" s="20">
        <v>7.5</v>
      </c>
      <c r="G217" s="25">
        <v>1.0</v>
      </c>
      <c r="H217" s="20">
        <f t="shared" si="1"/>
        <v>2007.5</v>
      </c>
      <c r="I217" s="19" t="s">
        <v>92</v>
      </c>
    </row>
    <row r="218" ht="15.0" customHeight="1">
      <c r="A218" s="24">
        <v>45966.0</v>
      </c>
      <c r="B218" s="19" t="s">
        <v>95</v>
      </c>
      <c r="C218" s="19" t="s">
        <v>90</v>
      </c>
      <c r="D218" s="19" t="s">
        <v>91</v>
      </c>
      <c r="E218" s="20">
        <v>0.0</v>
      </c>
      <c r="F218" s="20">
        <v>1.25</v>
      </c>
      <c r="G218" s="25">
        <v>1.0</v>
      </c>
      <c r="H218" s="20">
        <f t="shared" si="1"/>
        <v>1.25</v>
      </c>
      <c r="I218" s="19"/>
    </row>
    <row r="219" ht="15.0" customHeight="1">
      <c r="A219" s="24">
        <v>45966.0</v>
      </c>
      <c r="B219" s="19" t="s">
        <v>96</v>
      </c>
      <c r="C219" s="19" t="s">
        <v>90</v>
      </c>
      <c r="D219" s="19" t="s">
        <v>91</v>
      </c>
      <c r="E219" s="20">
        <v>0.0</v>
      </c>
      <c r="F219" s="20">
        <v>1.25</v>
      </c>
      <c r="G219" s="25">
        <v>1.0</v>
      </c>
      <c r="H219" s="20">
        <f t="shared" si="1"/>
        <v>1.25</v>
      </c>
      <c r="I219" s="19"/>
    </row>
    <row r="220" ht="23.25" customHeight="1">
      <c r="A220" s="26">
        <v>45967.0</v>
      </c>
      <c r="B220" s="27" t="s">
        <v>244</v>
      </c>
      <c r="C220" s="27" t="s">
        <v>203</v>
      </c>
      <c r="D220" s="27" t="s">
        <v>204</v>
      </c>
      <c r="E220" s="28">
        <v>1050.0</v>
      </c>
      <c r="F220" s="28">
        <v>0.0</v>
      </c>
      <c r="G220" s="29">
        <v>0.0</v>
      </c>
      <c r="H220" s="28">
        <f t="shared" si="1"/>
        <v>0</v>
      </c>
      <c r="I220" s="27" t="s">
        <v>92</v>
      </c>
    </row>
    <row r="221" ht="23.25" customHeight="1">
      <c r="A221" s="24">
        <v>45968.0</v>
      </c>
      <c r="B221" s="19" t="s">
        <v>245</v>
      </c>
      <c r="C221" s="19" t="s">
        <v>111</v>
      </c>
      <c r="D221" s="19" t="s">
        <v>194</v>
      </c>
      <c r="E221" s="20">
        <v>624.0</v>
      </c>
      <c r="F221" s="20">
        <v>0.0</v>
      </c>
      <c r="G221" s="25">
        <v>1.0</v>
      </c>
      <c r="H221" s="20">
        <f t="shared" si="1"/>
        <v>624</v>
      </c>
      <c r="I221" s="19" t="s">
        <v>92</v>
      </c>
    </row>
    <row r="222" ht="15.0" customHeight="1">
      <c r="A222" s="26">
        <v>45974.0</v>
      </c>
      <c r="B222" s="27" t="s">
        <v>93</v>
      </c>
      <c r="C222" s="27" t="s">
        <v>94</v>
      </c>
      <c r="D222" s="27" t="s">
        <v>94</v>
      </c>
      <c r="E222" s="28">
        <v>3000.0</v>
      </c>
      <c r="F222" s="28">
        <v>7.5</v>
      </c>
      <c r="G222" s="29">
        <v>0.0</v>
      </c>
      <c r="H222" s="28">
        <f t="shared" si="1"/>
        <v>0</v>
      </c>
      <c r="I222" s="27" t="s">
        <v>92</v>
      </c>
    </row>
    <row r="223" ht="15.0" customHeight="1">
      <c r="A223" s="24">
        <v>45974.0</v>
      </c>
      <c r="B223" s="19" t="s">
        <v>95</v>
      </c>
      <c r="C223" s="19" t="s">
        <v>90</v>
      </c>
      <c r="D223" s="19" t="s">
        <v>91</v>
      </c>
      <c r="E223" s="20">
        <v>0.0</v>
      </c>
      <c r="F223" s="20">
        <v>1.25</v>
      </c>
      <c r="G223" s="25">
        <v>1.0</v>
      </c>
      <c r="H223" s="20">
        <f t="shared" si="1"/>
        <v>1.25</v>
      </c>
      <c r="I223" s="19"/>
    </row>
    <row r="224" ht="15.0" customHeight="1">
      <c r="A224" s="24">
        <v>45974.0</v>
      </c>
      <c r="B224" s="19" t="s">
        <v>96</v>
      </c>
      <c r="C224" s="19" t="s">
        <v>90</v>
      </c>
      <c r="D224" s="19" t="s">
        <v>91</v>
      </c>
      <c r="E224" s="20">
        <v>0.0</v>
      </c>
      <c r="F224" s="20">
        <v>1.25</v>
      </c>
      <c r="G224" s="25">
        <v>1.0</v>
      </c>
      <c r="H224" s="20">
        <f t="shared" si="1"/>
        <v>1.25</v>
      </c>
      <c r="I224" s="19"/>
    </row>
    <row r="225" ht="15.0" customHeight="1">
      <c r="A225" s="24">
        <v>45975.0</v>
      </c>
      <c r="B225" s="19" t="s">
        <v>246</v>
      </c>
      <c r="C225" s="19" t="s">
        <v>131</v>
      </c>
      <c r="D225" s="19" t="s">
        <v>132</v>
      </c>
      <c r="E225" s="20">
        <v>2000.0</v>
      </c>
      <c r="F225" s="20">
        <v>7.5</v>
      </c>
      <c r="G225" s="25">
        <v>1.0</v>
      </c>
      <c r="H225" s="20">
        <f t="shared" si="1"/>
        <v>2007.5</v>
      </c>
      <c r="I225" s="19" t="s">
        <v>92</v>
      </c>
    </row>
    <row r="226" ht="15.0" customHeight="1">
      <c r="A226" s="24">
        <v>45975.0</v>
      </c>
      <c r="B226" s="19" t="s">
        <v>95</v>
      </c>
      <c r="C226" s="19" t="s">
        <v>90</v>
      </c>
      <c r="D226" s="19" t="s">
        <v>91</v>
      </c>
      <c r="E226" s="20">
        <v>0.0</v>
      </c>
      <c r="F226" s="20">
        <v>1.25</v>
      </c>
      <c r="G226" s="25">
        <v>1.0</v>
      </c>
      <c r="H226" s="20">
        <f t="shared" si="1"/>
        <v>1.25</v>
      </c>
      <c r="I226" s="19"/>
    </row>
    <row r="227" ht="23.25" customHeight="1">
      <c r="A227" s="24">
        <v>45975.0</v>
      </c>
      <c r="B227" s="19" t="s">
        <v>247</v>
      </c>
      <c r="C227" s="19" t="s">
        <v>248</v>
      </c>
      <c r="D227" s="19" t="s">
        <v>249</v>
      </c>
      <c r="E227" s="20">
        <v>6190.0</v>
      </c>
      <c r="F227" s="20">
        <v>0.0</v>
      </c>
      <c r="G227" s="25">
        <v>0.0</v>
      </c>
      <c r="H227" s="20">
        <f t="shared" si="1"/>
        <v>0</v>
      </c>
      <c r="I227" s="19" t="s">
        <v>92</v>
      </c>
    </row>
    <row r="228" ht="23.25" customHeight="1">
      <c r="A228" s="24">
        <v>45976.0</v>
      </c>
      <c r="B228" s="19" t="s">
        <v>250</v>
      </c>
      <c r="C228" s="19" t="s">
        <v>147</v>
      </c>
      <c r="D228" s="19" t="s">
        <v>148</v>
      </c>
      <c r="E228" s="20">
        <v>1500.0</v>
      </c>
      <c r="F228" s="20">
        <v>0.0</v>
      </c>
      <c r="G228" s="25">
        <v>1.0</v>
      </c>
      <c r="H228" s="20">
        <f t="shared" si="1"/>
        <v>1500</v>
      </c>
      <c r="I228" s="19" t="s">
        <v>92</v>
      </c>
    </row>
    <row r="229" ht="23.25" customHeight="1">
      <c r="A229" s="24">
        <v>45977.0</v>
      </c>
      <c r="B229" s="19" t="s">
        <v>251</v>
      </c>
      <c r="C229" s="19" t="s">
        <v>248</v>
      </c>
      <c r="D229" s="19" t="s">
        <v>249</v>
      </c>
      <c r="E229" s="20">
        <v>2995.0</v>
      </c>
      <c r="F229" s="20">
        <v>0.0</v>
      </c>
      <c r="G229" s="25">
        <v>0.0</v>
      </c>
      <c r="H229" s="20">
        <f t="shared" si="1"/>
        <v>0</v>
      </c>
      <c r="I229" s="19" t="s">
        <v>92</v>
      </c>
    </row>
    <row r="230" ht="23.25" customHeight="1">
      <c r="A230" s="24">
        <v>45977.0</v>
      </c>
      <c r="B230" s="19" t="s">
        <v>252</v>
      </c>
      <c r="C230" s="19" t="s">
        <v>111</v>
      </c>
      <c r="D230" s="19" t="s">
        <v>194</v>
      </c>
      <c r="E230" s="20">
        <v>200.0</v>
      </c>
      <c r="F230" s="20">
        <v>0.0</v>
      </c>
      <c r="G230" s="25">
        <v>1.0</v>
      </c>
      <c r="H230" s="20">
        <f t="shared" si="1"/>
        <v>200</v>
      </c>
      <c r="I230" s="19" t="s">
        <v>92</v>
      </c>
    </row>
    <row r="231" ht="15.0" customHeight="1">
      <c r="A231" s="24">
        <v>45980.0</v>
      </c>
      <c r="B231" s="19" t="s">
        <v>253</v>
      </c>
      <c r="C231" s="19" t="s">
        <v>108</v>
      </c>
      <c r="D231" s="19" t="s">
        <v>121</v>
      </c>
      <c r="E231" s="20">
        <v>1000.0</v>
      </c>
      <c r="F231" s="20">
        <v>0.0</v>
      </c>
      <c r="G231" s="25">
        <v>0.5</v>
      </c>
      <c r="H231" s="20">
        <f t="shared" si="1"/>
        <v>500</v>
      </c>
      <c r="I231" s="19" t="s">
        <v>92</v>
      </c>
    </row>
    <row r="232" ht="15.0" customHeight="1">
      <c r="A232" s="24">
        <v>45980.0</v>
      </c>
      <c r="B232" s="19" t="s">
        <v>95</v>
      </c>
      <c r="C232" s="19" t="s">
        <v>90</v>
      </c>
      <c r="D232" s="19" t="s">
        <v>91</v>
      </c>
      <c r="E232" s="20">
        <v>0.0</v>
      </c>
      <c r="F232" s="20">
        <v>1.25</v>
      </c>
      <c r="G232" s="25">
        <v>1.0</v>
      </c>
      <c r="H232" s="20">
        <f t="shared" si="1"/>
        <v>1.25</v>
      </c>
      <c r="I232" s="19"/>
    </row>
    <row r="233" ht="23.25" customHeight="1">
      <c r="A233" s="24">
        <v>45980.0</v>
      </c>
      <c r="B233" s="19" t="s">
        <v>254</v>
      </c>
      <c r="C233" s="19" t="s">
        <v>111</v>
      </c>
      <c r="D233" s="19" t="s">
        <v>194</v>
      </c>
      <c r="E233" s="20">
        <v>400.0</v>
      </c>
      <c r="F233" s="20">
        <v>0.0</v>
      </c>
      <c r="G233" s="25">
        <v>1.0</v>
      </c>
      <c r="H233" s="20">
        <f t="shared" si="1"/>
        <v>400</v>
      </c>
      <c r="I233" s="19" t="s">
        <v>92</v>
      </c>
    </row>
    <row r="234" ht="23.25" customHeight="1">
      <c r="A234" s="24">
        <v>45981.0</v>
      </c>
      <c r="B234" s="19" t="s">
        <v>255</v>
      </c>
      <c r="C234" s="19" t="s">
        <v>111</v>
      </c>
      <c r="D234" s="19" t="s">
        <v>194</v>
      </c>
      <c r="E234" s="20">
        <v>200.0</v>
      </c>
      <c r="F234" s="20">
        <v>0.0</v>
      </c>
      <c r="G234" s="25">
        <v>1.0</v>
      </c>
      <c r="H234" s="20">
        <f t="shared" si="1"/>
        <v>200</v>
      </c>
      <c r="I234" s="19" t="s">
        <v>92</v>
      </c>
    </row>
    <row r="235" ht="15.0" customHeight="1">
      <c r="A235" s="24">
        <v>45983.0</v>
      </c>
      <c r="B235" s="19" t="s">
        <v>246</v>
      </c>
      <c r="C235" s="19" t="s">
        <v>131</v>
      </c>
      <c r="D235" s="19" t="s">
        <v>132</v>
      </c>
      <c r="E235" s="20">
        <v>2000.0</v>
      </c>
      <c r="F235" s="20">
        <v>7.5</v>
      </c>
      <c r="G235" s="25">
        <v>1.0</v>
      </c>
      <c r="H235" s="20">
        <f t="shared" si="1"/>
        <v>2007.5</v>
      </c>
      <c r="I235" s="19" t="s">
        <v>92</v>
      </c>
    </row>
    <row r="236" ht="15.0" customHeight="1">
      <c r="A236" s="24">
        <v>45983.0</v>
      </c>
      <c r="B236" s="19" t="s">
        <v>95</v>
      </c>
      <c r="C236" s="19" t="s">
        <v>90</v>
      </c>
      <c r="D236" s="19" t="s">
        <v>91</v>
      </c>
      <c r="E236" s="20">
        <v>0.0</v>
      </c>
      <c r="F236" s="20">
        <v>1.25</v>
      </c>
      <c r="G236" s="25">
        <v>1.0</v>
      </c>
      <c r="H236" s="20">
        <f t="shared" si="1"/>
        <v>1.25</v>
      </c>
      <c r="I236" s="19"/>
    </row>
    <row r="237" ht="15.0" customHeight="1">
      <c r="A237" s="24">
        <v>45983.0</v>
      </c>
      <c r="B237" s="19" t="s">
        <v>256</v>
      </c>
      <c r="C237" s="19" t="s">
        <v>257</v>
      </c>
      <c r="D237" s="19" t="s">
        <v>258</v>
      </c>
      <c r="E237" s="20">
        <v>1500.0</v>
      </c>
      <c r="F237" s="20">
        <v>7.5</v>
      </c>
      <c r="G237" s="25">
        <v>1.0</v>
      </c>
      <c r="H237" s="20">
        <f t="shared" si="1"/>
        <v>1507.5</v>
      </c>
      <c r="I237" s="19" t="s">
        <v>92</v>
      </c>
    </row>
    <row r="238" ht="23.25" customHeight="1">
      <c r="A238" s="24">
        <v>45983.0</v>
      </c>
      <c r="B238" s="19" t="s">
        <v>259</v>
      </c>
      <c r="C238" s="19" t="s">
        <v>90</v>
      </c>
      <c r="D238" s="19" t="s">
        <v>91</v>
      </c>
      <c r="E238" s="20">
        <v>0.0</v>
      </c>
      <c r="F238" s="20">
        <v>1.25</v>
      </c>
      <c r="G238" s="25">
        <v>1.0</v>
      </c>
      <c r="H238" s="20">
        <f t="shared" si="1"/>
        <v>1.25</v>
      </c>
      <c r="I238" s="19"/>
    </row>
    <row r="239" ht="15.0" customHeight="1">
      <c r="A239" s="24">
        <v>45983.0</v>
      </c>
      <c r="B239" s="19" t="s">
        <v>96</v>
      </c>
      <c r="C239" s="19" t="s">
        <v>90</v>
      </c>
      <c r="D239" s="19" t="s">
        <v>91</v>
      </c>
      <c r="E239" s="20">
        <v>0.0</v>
      </c>
      <c r="F239" s="20">
        <v>1.25</v>
      </c>
      <c r="G239" s="25">
        <v>1.0</v>
      </c>
      <c r="H239" s="20">
        <f t="shared" si="1"/>
        <v>1.25</v>
      </c>
      <c r="I239" s="19"/>
    </row>
    <row r="240" ht="15.0" customHeight="1">
      <c r="A240" s="24">
        <v>45983.0</v>
      </c>
      <c r="B240" s="19" t="s">
        <v>260</v>
      </c>
      <c r="C240" s="19" t="s">
        <v>99</v>
      </c>
      <c r="D240" s="19" t="s">
        <v>261</v>
      </c>
      <c r="E240" s="20">
        <v>12000.0</v>
      </c>
      <c r="F240" s="20">
        <v>0.0</v>
      </c>
      <c r="G240" s="25">
        <v>1.0</v>
      </c>
      <c r="H240" s="20">
        <f t="shared" si="1"/>
        <v>12000</v>
      </c>
      <c r="I240" s="19" t="s">
        <v>92</v>
      </c>
    </row>
    <row r="241" ht="15.0" customHeight="1">
      <c r="A241" s="24">
        <v>45983.0</v>
      </c>
      <c r="B241" s="19" t="s">
        <v>95</v>
      </c>
      <c r="C241" s="19" t="s">
        <v>90</v>
      </c>
      <c r="D241" s="19" t="s">
        <v>91</v>
      </c>
      <c r="E241" s="20">
        <v>0.0</v>
      </c>
      <c r="F241" s="20">
        <v>1.25</v>
      </c>
      <c r="G241" s="25">
        <v>1.0</v>
      </c>
      <c r="H241" s="20">
        <f t="shared" si="1"/>
        <v>1.25</v>
      </c>
      <c r="I241" s="19"/>
    </row>
    <row r="242" ht="23.25" customHeight="1">
      <c r="A242" s="24">
        <v>45986.0</v>
      </c>
      <c r="B242" s="19" t="s">
        <v>262</v>
      </c>
      <c r="C242" s="19" t="s">
        <v>111</v>
      </c>
      <c r="D242" s="19" t="s">
        <v>194</v>
      </c>
      <c r="E242" s="20">
        <v>300.0</v>
      </c>
      <c r="F242" s="20">
        <v>0.0</v>
      </c>
      <c r="G242" s="25">
        <v>1.0</v>
      </c>
      <c r="H242" s="20">
        <f t="shared" si="1"/>
        <v>300</v>
      </c>
      <c r="I242" s="19" t="s">
        <v>92</v>
      </c>
    </row>
    <row r="243" ht="23.25" customHeight="1">
      <c r="A243" s="24">
        <v>45989.0</v>
      </c>
      <c r="B243" s="19" t="s">
        <v>263</v>
      </c>
      <c r="C243" s="19" t="s">
        <v>111</v>
      </c>
      <c r="D243" s="19" t="s">
        <v>112</v>
      </c>
      <c r="E243" s="20">
        <v>1427.0</v>
      </c>
      <c r="F243" s="20">
        <v>0.0</v>
      </c>
      <c r="G243" s="25">
        <v>1.0</v>
      </c>
      <c r="H243" s="20">
        <f t="shared" si="1"/>
        <v>1427</v>
      </c>
      <c r="I243" s="19" t="s">
        <v>92</v>
      </c>
    </row>
    <row r="244" ht="15.0" customHeight="1">
      <c r="A244" s="24">
        <v>45990.0</v>
      </c>
      <c r="B244" s="19" t="s">
        <v>264</v>
      </c>
      <c r="C244" s="19" t="s">
        <v>108</v>
      </c>
      <c r="D244" s="19" t="s">
        <v>141</v>
      </c>
      <c r="E244" s="20">
        <v>336.22</v>
      </c>
      <c r="F244" s="20">
        <v>0.0</v>
      </c>
      <c r="G244" s="25">
        <v>0.5</v>
      </c>
      <c r="H244" s="20">
        <f t="shared" si="1"/>
        <v>168.11</v>
      </c>
      <c r="I244" s="19" t="s">
        <v>92</v>
      </c>
    </row>
    <row r="245" ht="23.25" customHeight="1">
      <c r="A245" s="24">
        <v>45991.0</v>
      </c>
      <c r="B245" s="19" t="s">
        <v>265</v>
      </c>
      <c r="C245" s="19" t="s">
        <v>108</v>
      </c>
      <c r="D245" s="19" t="s">
        <v>155</v>
      </c>
      <c r="E245" s="20">
        <v>399.95</v>
      </c>
      <c r="F245" s="20">
        <v>0.0</v>
      </c>
      <c r="G245" s="25">
        <v>0.5</v>
      </c>
      <c r="H245" s="20">
        <f t="shared" si="1"/>
        <v>199.975</v>
      </c>
      <c r="I245" s="19" t="s">
        <v>92</v>
      </c>
    </row>
    <row r="246" ht="15.0" customHeight="1">
      <c r="A246" s="24">
        <v>45992.0</v>
      </c>
      <c r="B246" s="19" t="s">
        <v>173</v>
      </c>
      <c r="C246" s="19" t="s">
        <v>90</v>
      </c>
      <c r="D246" s="19" t="s">
        <v>91</v>
      </c>
      <c r="E246" s="20">
        <v>21.24</v>
      </c>
      <c r="F246" s="20">
        <v>0.0</v>
      </c>
      <c r="G246" s="25">
        <v>1.0</v>
      </c>
      <c r="H246" s="20">
        <f t="shared" si="1"/>
        <v>21.24</v>
      </c>
      <c r="I246" s="19" t="s">
        <v>92</v>
      </c>
    </row>
    <row r="247" ht="15.0" customHeight="1">
      <c r="A247" s="24">
        <v>45992.0</v>
      </c>
      <c r="B247" s="19" t="s">
        <v>102</v>
      </c>
      <c r="C247" s="19" t="s">
        <v>90</v>
      </c>
      <c r="D247" s="19" t="s">
        <v>91</v>
      </c>
      <c r="E247" s="20">
        <v>77.5</v>
      </c>
      <c r="F247" s="20">
        <v>0.0</v>
      </c>
      <c r="G247" s="25">
        <v>1.0</v>
      </c>
      <c r="H247" s="20">
        <f t="shared" si="1"/>
        <v>77.5</v>
      </c>
      <c r="I247" s="19" t="s">
        <v>92</v>
      </c>
    </row>
    <row r="248" ht="15.0" customHeight="1">
      <c r="A248" s="24">
        <v>45992.0</v>
      </c>
      <c r="B248" s="19" t="s">
        <v>101</v>
      </c>
      <c r="C248" s="19" t="s">
        <v>90</v>
      </c>
      <c r="D248" s="19" t="s">
        <v>91</v>
      </c>
      <c r="E248" s="20">
        <v>200.0</v>
      </c>
      <c r="F248" s="20">
        <v>0.0</v>
      </c>
      <c r="G248" s="25">
        <v>1.0</v>
      </c>
      <c r="H248" s="20">
        <f t="shared" si="1"/>
        <v>200</v>
      </c>
      <c r="I248" s="19" t="s">
        <v>92</v>
      </c>
    </row>
    <row r="249" ht="23.25" customHeight="1">
      <c r="A249" s="24">
        <v>45993.0</v>
      </c>
      <c r="B249" s="19" t="s">
        <v>266</v>
      </c>
      <c r="C249" s="19" t="s">
        <v>99</v>
      </c>
      <c r="D249" s="19" t="s">
        <v>159</v>
      </c>
      <c r="E249" s="20">
        <v>344.13</v>
      </c>
      <c r="F249" s="20">
        <v>0.0</v>
      </c>
      <c r="G249" s="25">
        <v>1.0</v>
      </c>
      <c r="H249" s="20">
        <f t="shared" si="1"/>
        <v>344.13</v>
      </c>
      <c r="I249" s="19" t="s">
        <v>92</v>
      </c>
    </row>
    <row r="250" ht="23.25" customHeight="1">
      <c r="A250" s="24">
        <v>45994.0</v>
      </c>
      <c r="B250" s="19" t="s">
        <v>267</v>
      </c>
      <c r="C250" s="19" t="s">
        <v>99</v>
      </c>
      <c r="D250" s="19" t="s">
        <v>175</v>
      </c>
      <c r="E250" s="20">
        <v>498.64</v>
      </c>
      <c r="F250" s="20">
        <v>12.47</v>
      </c>
      <c r="G250" s="25">
        <v>1.0</v>
      </c>
      <c r="H250" s="20">
        <f t="shared" si="1"/>
        <v>511.11</v>
      </c>
      <c r="I250" s="19" t="s">
        <v>92</v>
      </c>
    </row>
    <row r="251" ht="23.25" customHeight="1">
      <c r="A251" s="24">
        <v>45995.0</v>
      </c>
      <c r="B251" s="19" t="s">
        <v>268</v>
      </c>
      <c r="C251" s="19" t="s">
        <v>128</v>
      </c>
      <c r="D251" s="19" t="s">
        <v>179</v>
      </c>
      <c r="E251" s="20">
        <v>170.0</v>
      </c>
      <c r="F251" s="20">
        <v>0.0</v>
      </c>
      <c r="G251" s="25">
        <v>1.0</v>
      </c>
      <c r="H251" s="20">
        <f t="shared" si="1"/>
        <v>170</v>
      </c>
      <c r="I251" s="19" t="s">
        <v>92</v>
      </c>
    </row>
    <row r="252" ht="23.25" customHeight="1">
      <c r="A252" s="24">
        <v>45996.0</v>
      </c>
      <c r="B252" s="19" t="s">
        <v>269</v>
      </c>
      <c r="C252" s="19" t="s">
        <v>111</v>
      </c>
      <c r="D252" s="19" t="s">
        <v>194</v>
      </c>
      <c r="E252" s="20">
        <v>400.0</v>
      </c>
      <c r="F252" s="20">
        <v>0.0</v>
      </c>
      <c r="G252" s="25">
        <v>1.0</v>
      </c>
      <c r="H252" s="20">
        <f t="shared" si="1"/>
        <v>400</v>
      </c>
      <c r="I252" s="19" t="s">
        <v>92</v>
      </c>
    </row>
    <row r="253" ht="23.25" customHeight="1">
      <c r="A253" s="24">
        <v>45998.0</v>
      </c>
      <c r="B253" s="19" t="s">
        <v>270</v>
      </c>
      <c r="C253" s="19" t="s">
        <v>166</v>
      </c>
      <c r="D253" s="19" t="s">
        <v>167</v>
      </c>
      <c r="E253" s="20">
        <v>23.97</v>
      </c>
      <c r="F253" s="20">
        <v>0.0</v>
      </c>
      <c r="G253" s="25">
        <v>1.0</v>
      </c>
      <c r="H253" s="20">
        <f t="shared" si="1"/>
        <v>23.97</v>
      </c>
      <c r="I253" s="19" t="s">
        <v>92</v>
      </c>
    </row>
    <row r="254" ht="23.25" customHeight="1">
      <c r="A254" s="24">
        <v>46000.0</v>
      </c>
      <c r="B254" s="19" t="s">
        <v>271</v>
      </c>
      <c r="C254" s="19" t="s">
        <v>150</v>
      </c>
      <c r="D254" s="19" t="s">
        <v>151</v>
      </c>
      <c r="E254" s="20">
        <v>200.0</v>
      </c>
      <c r="F254" s="20">
        <v>0.0</v>
      </c>
      <c r="G254" s="25">
        <v>1.0</v>
      </c>
      <c r="H254" s="20">
        <f t="shared" si="1"/>
        <v>200</v>
      </c>
      <c r="I254" s="19" t="s">
        <v>92</v>
      </c>
    </row>
    <row r="255" ht="23.25" customHeight="1">
      <c r="A255" s="24">
        <v>46001.0</v>
      </c>
      <c r="B255" s="19" t="s">
        <v>272</v>
      </c>
      <c r="C255" s="19" t="s">
        <v>166</v>
      </c>
      <c r="D255" s="19" t="s">
        <v>167</v>
      </c>
      <c r="E255" s="20">
        <v>379.91</v>
      </c>
      <c r="F255" s="20">
        <v>0.0</v>
      </c>
      <c r="G255" s="25">
        <v>1.0</v>
      </c>
      <c r="H255" s="20">
        <f t="shared" si="1"/>
        <v>379.91</v>
      </c>
      <c r="I255" s="19" t="s">
        <v>92</v>
      </c>
    </row>
    <row r="256" ht="23.25" customHeight="1">
      <c r="A256" s="24">
        <v>46002.0</v>
      </c>
      <c r="B256" s="19" t="s">
        <v>273</v>
      </c>
      <c r="C256" s="19" t="s">
        <v>274</v>
      </c>
      <c r="D256" s="19" t="s">
        <v>275</v>
      </c>
      <c r="E256" s="20">
        <v>19999.0</v>
      </c>
      <c r="F256" s="20">
        <v>0.0</v>
      </c>
      <c r="G256" s="25">
        <v>0.0</v>
      </c>
      <c r="H256" s="20">
        <f t="shared" si="1"/>
        <v>0</v>
      </c>
      <c r="I256" s="19" t="s">
        <v>92</v>
      </c>
    </row>
    <row r="257" ht="15.0" customHeight="1">
      <c r="A257" s="24">
        <v>46005.0</v>
      </c>
      <c r="B257" s="19" t="s">
        <v>154</v>
      </c>
      <c r="C257" s="19" t="s">
        <v>108</v>
      </c>
      <c r="D257" s="19" t="s">
        <v>155</v>
      </c>
      <c r="E257" s="20">
        <v>688.0</v>
      </c>
      <c r="F257" s="20">
        <v>0.0</v>
      </c>
      <c r="G257" s="25">
        <v>0.5</v>
      </c>
      <c r="H257" s="20">
        <f t="shared" si="1"/>
        <v>344</v>
      </c>
      <c r="I257" s="19" t="s">
        <v>92</v>
      </c>
    </row>
    <row r="258" ht="23.25" customHeight="1">
      <c r="A258" s="24">
        <v>46007.0</v>
      </c>
      <c r="B258" s="19" t="s">
        <v>276</v>
      </c>
      <c r="C258" s="19" t="s">
        <v>128</v>
      </c>
      <c r="D258" s="19" t="s">
        <v>179</v>
      </c>
      <c r="E258" s="20">
        <v>168.0</v>
      </c>
      <c r="F258" s="20">
        <v>0.0</v>
      </c>
      <c r="G258" s="25">
        <v>1.0</v>
      </c>
      <c r="H258" s="20">
        <f t="shared" si="1"/>
        <v>168</v>
      </c>
      <c r="I258" s="19" t="s">
        <v>92</v>
      </c>
    </row>
    <row r="259" ht="23.25" customHeight="1">
      <c r="A259" s="24">
        <v>46007.0</v>
      </c>
      <c r="B259" s="19" t="s">
        <v>277</v>
      </c>
      <c r="C259" s="19" t="s">
        <v>128</v>
      </c>
      <c r="D259" s="19" t="s">
        <v>179</v>
      </c>
      <c r="E259" s="20">
        <v>79.0</v>
      </c>
      <c r="F259" s="20">
        <v>0.0</v>
      </c>
      <c r="G259" s="25">
        <v>1.0</v>
      </c>
      <c r="H259" s="20">
        <f t="shared" si="1"/>
        <v>79</v>
      </c>
      <c r="I259" s="19" t="s">
        <v>92</v>
      </c>
    </row>
    <row r="260" ht="23.25" customHeight="1">
      <c r="A260" s="24">
        <v>46009.0</v>
      </c>
      <c r="B260" s="19" t="s">
        <v>278</v>
      </c>
      <c r="C260" s="19" t="s">
        <v>108</v>
      </c>
      <c r="D260" s="19" t="s">
        <v>155</v>
      </c>
      <c r="E260" s="20">
        <v>129.0</v>
      </c>
      <c r="F260" s="20">
        <v>0.0</v>
      </c>
      <c r="G260" s="25">
        <v>0.5</v>
      </c>
      <c r="H260" s="20">
        <f t="shared" si="1"/>
        <v>64.5</v>
      </c>
      <c r="I260" s="19" t="s">
        <v>92</v>
      </c>
    </row>
    <row r="261" ht="23.25" customHeight="1">
      <c r="A261" s="24">
        <v>46010.0</v>
      </c>
      <c r="B261" s="19" t="s">
        <v>279</v>
      </c>
      <c r="C261" s="19" t="s">
        <v>128</v>
      </c>
      <c r="D261" s="19" t="s">
        <v>179</v>
      </c>
      <c r="E261" s="20">
        <v>36.0</v>
      </c>
      <c r="F261" s="20">
        <v>0.0</v>
      </c>
      <c r="G261" s="25">
        <v>1.0</v>
      </c>
      <c r="H261" s="20">
        <f t="shared" si="1"/>
        <v>36</v>
      </c>
      <c r="I261" s="19" t="s">
        <v>92</v>
      </c>
    </row>
    <row r="262" ht="23.25" customHeight="1">
      <c r="A262" s="24">
        <v>46010.0</v>
      </c>
      <c r="B262" s="19" t="s">
        <v>280</v>
      </c>
      <c r="C262" s="19" t="s">
        <v>111</v>
      </c>
      <c r="D262" s="19" t="s">
        <v>112</v>
      </c>
      <c r="E262" s="20">
        <v>100.0</v>
      </c>
      <c r="F262" s="20">
        <v>0.0</v>
      </c>
      <c r="G262" s="25">
        <v>1.0</v>
      </c>
      <c r="H262" s="20">
        <f t="shared" si="1"/>
        <v>100</v>
      </c>
      <c r="I262" s="19" t="s">
        <v>92</v>
      </c>
    </row>
    <row r="263" ht="23.25" customHeight="1">
      <c r="A263" s="26">
        <v>46012.0</v>
      </c>
      <c r="B263" s="27" t="s">
        <v>164</v>
      </c>
      <c r="C263" s="27" t="s">
        <v>117</v>
      </c>
      <c r="D263" s="27" t="s">
        <v>118</v>
      </c>
      <c r="E263" s="28">
        <v>40000.0</v>
      </c>
      <c r="F263" s="28">
        <v>0.0</v>
      </c>
      <c r="G263" s="29">
        <v>0.0</v>
      </c>
      <c r="H263" s="28">
        <f t="shared" si="1"/>
        <v>0</v>
      </c>
      <c r="I263" s="27" t="s">
        <v>92</v>
      </c>
    </row>
    <row r="264" ht="15.0" customHeight="1">
      <c r="A264" s="24">
        <v>46012.0</v>
      </c>
      <c r="B264" s="19" t="s">
        <v>228</v>
      </c>
      <c r="C264" s="19" t="s">
        <v>229</v>
      </c>
      <c r="D264" s="19" t="s">
        <v>230</v>
      </c>
      <c r="E264" s="20">
        <v>7000.0</v>
      </c>
      <c r="F264" s="20">
        <v>0.0</v>
      </c>
      <c r="G264" s="25">
        <v>1.0</v>
      </c>
      <c r="H264" s="20">
        <f t="shared" si="1"/>
        <v>7000</v>
      </c>
      <c r="I264" s="19" t="s">
        <v>92</v>
      </c>
    </row>
    <row r="265" ht="15.0" customHeight="1">
      <c r="A265" s="24">
        <v>46012.0</v>
      </c>
      <c r="B265" s="19" t="s">
        <v>95</v>
      </c>
      <c r="C265" s="19" t="s">
        <v>90</v>
      </c>
      <c r="D265" s="19" t="s">
        <v>91</v>
      </c>
      <c r="E265" s="20">
        <v>0.0</v>
      </c>
      <c r="F265" s="20">
        <v>1.25</v>
      </c>
      <c r="G265" s="25">
        <v>1.0</v>
      </c>
      <c r="H265" s="20">
        <f t="shared" si="1"/>
        <v>1.25</v>
      </c>
      <c r="I265" s="19"/>
    </row>
    <row r="266" ht="15.0" customHeight="1">
      <c r="A266" s="24">
        <v>46012.0</v>
      </c>
      <c r="B266" s="19" t="s">
        <v>228</v>
      </c>
      <c r="C266" s="19" t="s">
        <v>229</v>
      </c>
      <c r="D266" s="19" t="s">
        <v>230</v>
      </c>
      <c r="E266" s="20">
        <v>7000.0</v>
      </c>
      <c r="F266" s="20">
        <v>0.0</v>
      </c>
      <c r="G266" s="25">
        <v>1.0</v>
      </c>
      <c r="H266" s="20">
        <f t="shared" si="1"/>
        <v>7000</v>
      </c>
      <c r="I266" s="19" t="s">
        <v>92</v>
      </c>
    </row>
    <row r="267" ht="15.0" customHeight="1">
      <c r="A267" s="24">
        <v>46012.0</v>
      </c>
      <c r="B267" s="19" t="s">
        <v>95</v>
      </c>
      <c r="C267" s="19" t="s">
        <v>90</v>
      </c>
      <c r="D267" s="19" t="s">
        <v>91</v>
      </c>
      <c r="E267" s="20">
        <v>0.0</v>
      </c>
      <c r="F267" s="20">
        <v>1.25</v>
      </c>
      <c r="G267" s="25">
        <v>1.0</v>
      </c>
      <c r="H267" s="20">
        <f t="shared" si="1"/>
        <v>1.25</v>
      </c>
      <c r="I267" s="19"/>
    </row>
    <row r="268" ht="15.0" customHeight="1">
      <c r="A268" s="24">
        <v>46013.0</v>
      </c>
      <c r="B268" s="19" t="s">
        <v>281</v>
      </c>
      <c r="C268" s="19" t="s">
        <v>229</v>
      </c>
      <c r="D268" s="19" t="s">
        <v>282</v>
      </c>
      <c r="E268" s="20">
        <v>10000.0</v>
      </c>
      <c r="F268" s="20">
        <v>0.0</v>
      </c>
      <c r="G268" s="25">
        <v>1.0</v>
      </c>
      <c r="H268" s="20">
        <f t="shared" si="1"/>
        <v>10000</v>
      </c>
      <c r="I268" s="19" t="s">
        <v>92</v>
      </c>
    </row>
    <row r="269" ht="15.0" customHeight="1">
      <c r="A269" s="24">
        <v>46013.0</v>
      </c>
      <c r="B269" s="19" t="s">
        <v>95</v>
      </c>
      <c r="C269" s="19" t="s">
        <v>90</v>
      </c>
      <c r="D269" s="19" t="s">
        <v>91</v>
      </c>
      <c r="E269" s="20">
        <v>0.0</v>
      </c>
      <c r="F269" s="20">
        <v>1.25</v>
      </c>
      <c r="G269" s="25">
        <v>1.0</v>
      </c>
      <c r="H269" s="20">
        <f t="shared" si="1"/>
        <v>1.25</v>
      </c>
      <c r="I269" s="19"/>
    </row>
    <row r="270" ht="15.0" customHeight="1">
      <c r="A270" s="24">
        <v>46020.0</v>
      </c>
      <c r="B270" s="19" t="s">
        <v>283</v>
      </c>
      <c r="C270" s="19" t="s">
        <v>128</v>
      </c>
      <c r="D270" s="19" t="s">
        <v>179</v>
      </c>
      <c r="E270" s="20">
        <v>2300.0</v>
      </c>
      <c r="F270" s="20">
        <v>7.5</v>
      </c>
      <c r="G270" s="25">
        <v>1.0</v>
      </c>
      <c r="H270" s="20">
        <f t="shared" si="1"/>
        <v>2307.5</v>
      </c>
      <c r="I270" s="19" t="s">
        <v>92</v>
      </c>
    </row>
    <row r="271" ht="15.0" customHeight="1">
      <c r="A271" s="24">
        <v>46020.0</v>
      </c>
      <c r="B271" s="19" t="s">
        <v>95</v>
      </c>
      <c r="C271" s="19" t="s">
        <v>90</v>
      </c>
      <c r="D271" s="19" t="s">
        <v>91</v>
      </c>
      <c r="E271" s="20">
        <v>0.0</v>
      </c>
      <c r="F271" s="20">
        <v>1.25</v>
      </c>
      <c r="G271" s="25">
        <v>1.0</v>
      </c>
      <c r="H271" s="20">
        <f t="shared" si="1"/>
        <v>1.25</v>
      </c>
      <c r="I271" s="19"/>
    </row>
    <row r="272" ht="15.0" customHeight="1">
      <c r="A272" s="24">
        <v>46020.0</v>
      </c>
      <c r="B272" s="19" t="s">
        <v>96</v>
      </c>
      <c r="C272" s="19" t="s">
        <v>90</v>
      </c>
      <c r="D272" s="19" t="s">
        <v>91</v>
      </c>
      <c r="E272" s="20">
        <v>0.0</v>
      </c>
      <c r="F272" s="20">
        <v>1.25</v>
      </c>
      <c r="G272" s="25">
        <v>1.0</v>
      </c>
      <c r="H272" s="20">
        <f t="shared" si="1"/>
        <v>1.25</v>
      </c>
      <c r="I272" s="19"/>
    </row>
    <row r="273" ht="15.0" customHeight="1">
      <c r="A273" s="24">
        <v>46022.0</v>
      </c>
      <c r="B273" s="19" t="s">
        <v>284</v>
      </c>
      <c r="C273" s="19" t="s">
        <v>108</v>
      </c>
      <c r="D273" s="19" t="s">
        <v>141</v>
      </c>
      <c r="E273" s="20">
        <v>273.35</v>
      </c>
      <c r="F273" s="20">
        <v>24.0</v>
      </c>
      <c r="G273" s="25">
        <v>0.5</v>
      </c>
      <c r="H273" s="20">
        <f t="shared" si="1"/>
        <v>148.675</v>
      </c>
      <c r="I273" s="19" t="s">
        <v>92</v>
      </c>
    </row>
    <row r="274" ht="23.25" customHeight="1">
      <c r="A274" s="24">
        <v>46023.0</v>
      </c>
      <c r="B274" s="19" t="s">
        <v>285</v>
      </c>
      <c r="C274" s="19" t="s">
        <v>99</v>
      </c>
      <c r="D274" s="19" t="s">
        <v>159</v>
      </c>
      <c r="E274" s="20">
        <v>334.81</v>
      </c>
      <c r="F274" s="20">
        <v>8.37</v>
      </c>
      <c r="G274" s="25">
        <v>1.0</v>
      </c>
      <c r="H274" s="20">
        <f t="shared" si="1"/>
        <v>343.18</v>
      </c>
      <c r="I274" s="19" t="s">
        <v>92</v>
      </c>
    </row>
    <row r="275" ht="15.0" customHeight="1">
      <c r="A275" s="24">
        <v>46023.0</v>
      </c>
      <c r="B275" s="19" t="s">
        <v>173</v>
      </c>
      <c r="C275" s="19" t="s">
        <v>90</v>
      </c>
      <c r="D275" s="19" t="s">
        <v>91</v>
      </c>
      <c r="E275" s="20">
        <v>45.07</v>
      </c>
      <c r="F275" s="20">
        <v>0.0</v>
      </c>
      <c r="G275" s="25">
        <v>1.0</v>
      </c>
      <c r="H275" s="20">
        <f t="shared" si="1"/>
        <v>45.07</v>
      </c>
      <c r="I275" s="19" t="s">
        <v>92</v>
      </c>
    </row>
    <row r="276" ht="23.25" customHeight="1">
      <c r="A276" s="24">
        <v>46023.0</v>
      </c>
      <c r="B276" s="19" t="s">
        <v>286</v>
      </c>
      <c r="C276" s="19" t="s">
        <v>90</v>
      </c>
      <c r="D276" s="19" t="s">
        <v>91</v>
      </c>
      <c r="E276" s="20">
        <v>16.25</v>
      </c>
      <c r="F276" s="20">
        <v>0.0</v>
      </c>
      <c r="G276" s="25">
        <v>1.0</v>
      </c>
      <c r="H276" s="20">
        <f t="shared" si="1"/>
        <v>16.25</v>
      </c>
      <c r="I276" s="19" t="s">
        <v>92</v>
      </c>
    </row>
    <row r="277" ht="34.5" customHeight="1">
      <c r="A277" s="24">
        <v>46023.0</v>
      </c>
      <c r="B277" s="19" t="s">
        <v>287</v>
      </c>
      <c r="C277" s="19" t="s">
        <v>90</v>
      </c>
      <c r="D277" s="19" t="s">
        <v>91</v>
      </c>
      <c r="E277" s="20">
        <v>210.0</v>
      </c>
      <c r="F277" s="20">
        <v>0.0</v>
      </c>
      <c r="G277" s="25">
        <v>1.0</v>
      </c>
      <c r="H277" s="20">
        <f t="shared" si="1"/>
        <v>210</v>
      </c>
      <c r="I277" s="19" t="s">
        <v>92</v>
      </c>
    </row>
    <row r="278" ht="23.25" customHeight="1">
      <c r="A278" s="24">
        <v>46025.0</v>
      </c>
      <c r="B278" s="19" t="s">
        <v>288</v>
      </c>
      <c r="C278" s="19" t="s">
        <v>99</v>
      </c>
      <c r="D278" s="19" t="s">
        <v>175</v>
      </c>
      <c r="E278" s="20">
        <v>482.34</v>
      </c>
      <c r="F278" s="20">
        <v>12.06</v>
      </c>
      <c r="G278" s="25">
        <v>1.0</v>
      </c>
      <c r="H278" s="20">
        <f t="shared" si="1"/>
        <v>494.4</v>
      </c>
      <c r="I278" s="19" t="s">
        <v>92</v>
      </c>
    </row>
    <row r="279" ht="15.0" customHeight="1">
      <c r="A279" s="26">
        <v>46027.0</v>
      </c>
      <c r="B279" s="27" t="s">
        <v>289</v>
      </c>
      <c r="C279" s="27" t="s">
        <v>94</v>
      </c>
      <c r="D279" s="27" t="s">
        <v>94</v>
      </c>
      <c r="E279" s="28">
        <v>40000.0</v>
      </c>
      <c r="F279" s="28">
        <v>0.0</v>
      </c>
      <c r="G279" s="29">
        <v>0.0</v>
      </c>
      <c r="H279" s="28">
        <f t="shared" si="1"/>
        <v>0</v>
      </c>
      <c r="I279" s="27" t="s">
        <v>92</v>
      </c>
    </row>
    <row r="280" ht="15.0" customHeight="1">
      <c r="A280" s="24">
        <v>46027.0</v>
      </c>
      <c r="B280" s="19" t="s">
        <v>95</v>
      </c>
      <c r="C280" s="19" t="s">
        <v>90</v>
      </c>
      <c r="D280" s="19" t="s">
        <v>91</v>
      </c>
      <c r="E280" s="20">
        <v>0.0</v>
      </c>
      <c r="F280" s="20">
        <v>1.25</v>
      </c>
      <c r="G280" s="25">
        <v>1.0</v>
      </c>
      <c r="H280" s="20">
        <f t="shared" si="1"/>
        <v>1.25</v>
      </c>
      <c r="I280" s="19"/>
    </row>
    <row r="281" ht="23.25" customHeight="1">
      <c r="A281" s="24">
        <v>46028.0</v>
      </c>
      <c r="B281" s="19" t="s">
        <v>290</v>
      </c>
      <c r="C281" s="19" t="s">
        <v>111</v>
      </c>
      <c r="D281" s="19" t="s">
        <v>194</v>
      </c>
      <c r="E281" s="20">
        <v>200.0</v>
      </c>
      <c r="F281" s="20">
        <v>0.0</v>
      </c>
      <c r="G281" s="25">
        <v>1.0</v>
      </c>
      <c r="H281" s="20">
        <f t="shared" si="1"/>
        <v>200</v>
      </c>
      <c r="I281" s="19" t="s">
        <v>92</v>
      </c>
    </row>
    <row r="282" ht="23.25" customHeight="1">
      <c r="A282" s="24">
        <v>46029.0</v>
      </c>
      <c r="B282" s="19" t="s">
        <v>291</v>
      </c>
      <c r="C282" s="19" t="s">
        <v>108</v>
      </c>
      <c r="D282" s="19" t="s">
        <v>155</v>
      </c>
      <c r="E282" s="20">
        <v>1045.45</v>
      </c>
      <c r="F282" s="20">
        <v>0.0</v>
      </c>
      <c r="G282" s="25">
        <v>0.5</v>
      </c>
      <c r="H282" s="20">
        <f t="shared" si="1"/>
        <v>522.725</v>
      </c>
      <c r="I282" s="19" t="s">
        <v>92</v>
      </c>
    </row>
    <row r="283" ht="23.25" customHeight="1">
      <c r="A283" s="24">
        <v>46030.0</v>
      </c>
      <c r="B283" s="19" t="s">
        <v>292</v>
      </c>
      <c r="C283" s="19" t="s">
        <v>108</v>
      </c>
      <c r="D283" s="19" t="s">
        <v>155</v>
      </c>
      <c r="E283" s="20">
        <v>955.0</v>
      </c>
      <c r="F283" s="20">
        <v>0.0</v>
      </c>
      <c r="G283" s="25">
        <v>0.5</v>
      </c>
      <c r="H283" s="20">
        <f t="shared" si="1"/>
        <v>477.5</v>
      </c>
      <c r="I283" s="19" t="s">
        <v>92</v>
      </c>
    </row>
    <row r="284" ht="23.25" customHeight="1">
      <c r="A284" s="24">
        <v>46032.0</v>
      </c>
      <c r="B284" s="19" t="s">
        <v>293</v>
      </c>
      <c r="C284" s="19" t="s">
        <v>108</v>
      </c>
      <c r="D284" s="19" t="s">
        <v>155</v>
      </c>
      <c r="E284" s="20">
        <v>1298.0</v>
      </c>
      <c r="F284" s="20">
        <v>0.0</v>
      </c>
      <c r="G284" s="25">
        <v>0.5</v>
      </c>
      <c r="H284" s="20">
        <f t="shared" si="1"/>
        <v>649</v>
      </c>
      <c r="I284" s="19" t="s">
        <v>92</v>
      </c>
    </row>
    <row r="285" ht="23.25" customHeight="1">
      <c r="A285" s="24">
        <v>46033.0</v>
      </c>
      <c r="B285" s="19" t="s">
        <v>294</v>
      </c>
      <c r="C285" s="19" t="s">
        <v>108</v>
      </c>
      <c r="D285" s="19" t="s">
        <v>155</v>
      </c>
      <c r="E285" s="20">
        <v>399.95</v>
      </c>
      <c r="F285" s="20">
        <v>0.0</v>
      </c>
      <c r="G285" s="25">
        <v>0.5</v>
      </c>
      <c r="H285" s="20">
        <f t="shared" si="1"/>
        <v>199.975</v>
      </c>
      <c r="I285" s="19" t="s">
        <v>92</v>
      </c>
    </row>
    <row r="286" ht="23.25" customHeight="1">
      <c r="A286" s="24">
        <v>46036.0</v>
      </c>
      <c r="B286" s="19" t="s">
        <v>295</v>
      </c>
      <c r="C286" s="19" t="s">
        <v>108</v>
      </c>
      <c r="D286" s="19" t="s">
        <v>155</v>
      </c>
      <c r="E286" s="20">
        <v>10.0</v>
      </c>
      <c r="F286" s="20">
        <v>0.0</v>
      </c>
      <c r="G286" s="25">
        <v>0.5</v>
      </c>
      <c r="H286" s="20">
        <f t="shared" si="1"/>
        <v>5</v>
      </c>
      <c r="I286" s="19" t="s">
        <v>92</v>
      </c>
    </row>
    <row r="287" ht="23.25" customHeight="1">
      <c r="A287" s="24">
        <v>46037.0</v>
      </c>
      <c r="B287" s="19" t="s">
        <v>296</v>
      </c>
      <c r="C287" s="19" t="s">
        <v>150</v>
      </c>
      <c r="D287" s="19" t="s">
        <v>151</v>
      </c>
      <c r="E287" s="20">
        <v>200.0</v>
      </c>
      <c r="F287" s="20">
        <v>0.0</v>
      </c>
      <c r="G287" s="25">
        <v>1.0</v>
      </c>
      <c r="H287" s="20">
        <f t="shared" si="1"/>
        <v>200</v>
      </c>
      <c r="I287" s="19" t="s">
        <v>92</v>
      </c>
    </row>
    <row r="288" ht="23.25" customHeight="1">
      <c r="A288" s="24">
        <v>46039.0</v>
      </c>
      <c r="B288" s="19" t="s">
        <v>297</v>
      </c>
      <c r="C288" s="19" t="s">
        <v>128</v>
      </c>
      <c r="D288" s="19" t="s">
        <v>179</v>
      </c>
      <c r="E288" s="20">
        <v>73.0</v>
      </c>
      <c r="F288" s="20">
        <v>0.0</v>
      </c>
      <c r="G288" s="25">
        <v>1.0</v>
      </c>
      <c r="H288" s="20">
        <f t="shared" si="1"/>
        <v>73</v>
      </c>
      <c r="I288" s="19" t="s">
        <v>92</v>
      </c>
    </row>
    <row r="289" ht="23.25" customHeight="1">
      <c r="A289" s="24">
        <v>46040.0</v>
      </c>
      <c r="B289" s="19" t="s">
        <v>298</v>
      </c>
      <c r="C289" s="19" t="s">
        <v>111</v>
      </c>
      <c r="D289" s="19" t="s">
        <v>194</v>
      </c>
      <c r="E289" s="20">
        <v>200.0</v>
      </c>
      <c r="F289" s="20">
        <v>0.0</v>
      </c>
      <c r="G289" s="25">
        <v>1.0</v>
      </c>
      <c r="H289" s="20">
        <f t="shared" si="1"/>
        <v>200</v>
      </c>
      <c r="I289" s="19" t="s">
        <v>92</v>
      </c>
    </row>
    <row r="290" ht="23.25" customHeight="1">
      <c r="A290" s="24">
        <v>46044.0</v>
      </c>
      <c r="B290" s="19" t="s">
        <v>299</v>
      </c>
      <c r="C290" s="19" t="s">
        <v>150</v>
      </c>
      <c r="D290" s="19" t="s">
        <v>151</v>
      </c>
      <c r="E290" s="20">
        <v>151.8</v>
      </c>
      <c r="F290" s="20">
        <v>0.0</v>
      </c>
      <c r="G290" s="25">
        <v>1.0</v>
      </c>
      <c r="H290" s="20">
        <f t="shared" si="1"/>
        <v>151.8</v>
      </c>
      <c r="I290" s="19" t="s">
        <v>92</v>
      </c>
    </row>
    <row r="291" ht="23.25" customHeight="1">
      <c r="A291" s="24">
        <v>46044.0</v>
      </c>
      <c r="B291" s="19" t="s">
        <v>300</v>
      </c>
      <c r="C291" s="19" t="s">
        <v>128</v>
      </c>
      <c r="D291" s="19" t="s">
        <v>179</v>
      </c>
      <c r="E291" s="20">
        <v>79.0</v>
      </c>
      <c r="F291" s="20">
        <v>0.0</v>
      </c>
      <c r="G291" s="25">
        <v>1.0</v>
      </c>
      <c r="H291" s="20">
        <f t="shared" si="1"/>
        <v>79</v>
      </c>
      <c r="I291" s="19" t="s">
        <v>92</v>
      </c>
    </row>
    <row r="292" ht="23.25" customHeight="1">
      <c r="A292" s="24">
        <v>46044.0</v>
      </c>
      <c r="B292" s="19" t="s">
        <v>301</v>
      </c>
      <c r="C292" s="19" t="s">
        <v>150</v>
      </c>
      <c r="D292" s="19" t="s">
        <v>151</v>
      </c>
      <c r="E292" s="20">
        <v>400.0</v>
      </c>
      <c r="F292" s="20">
        <v>0.0</v>
      </c>
      <c r="G292" s="25">
        <v>1.0</v>
      </c>
      <c r="H292" s="20">
        <f t="shared" si="1"/>
        <v>400</v>
      </c>
      <c r="I292" s="19" t="s">
        <v>92</v>
      </c>
    </row>
    <row r="293" ht="15.0" customHeight="1">
      <c r="A293" s="24">
        <v>46045.0</v>
      </c>
      <c r="B293" s="19" t="s">
        <v>228</v>
      </c>
      <c r="C293" s="19" t="s">
        <v>229</v>
      </c>
      <c r="D293" s="19" t="s">
        <v>230</v>
      </c>
      <c r="E293" s="20">
        <v>7000.0</v>
      </c>
      <c r="F293" s="20">
        <v>0.0</v>
      </c>
      <c r="G293" s="25">
        <v>1.0</v>
      </c>
      <c r="H293" s="20">
        <f t="shared" si="1"/>
        <v>7000</v>
      </c>
      <c r="I293" s="19" t="s">
        <v>92</v>
      </c>
    </row>
    <row r="294" ht="15.0" customHeight="1">
      <c r="A294" s="24">
        <v>46045.0</v>
      </c>
      <c r="B294" s="19" t="s">
        <v>95</v>
      </c>
      <c r="C294" s="19" t="s">
        <v>90</v>
      </c>
      <c r="D294" s="19" t="s">
        <v>91</v>
      </c>
      <c r="E294" s="20">
        <v>0.0</v>
      </c>
      <c r="F294" s="20">
        <v>1.25</v>
      </c>
      <c r="G294" s="25">
        <v>1.0</v>
      </c>
      <c r="H294" s="20">
        <f t="shared" si="1"/>
        <v>1.25</v>
      </c>
      <c r="I294" s="19"/>
    </row>
    <row r="295" ht="15.0" customHeight="1">
      <c r="A295" s="24">
        <v>46045.0</v>
      </c>
      <c r="B295" s="19" t="s">
        <v>228</v>
      </c>
      <c r="C295" s="19" t="s">
        <v>229</v>
      </c>
      <c r="D295" s="19" t="s">
        <v>230</v>
      </c>
      <c r="E295" s="20">
        <v>18000.0</v>
      </c>
      <c r="F295" s="20">
        <v>0.0</v>
      </c>
      <c r="G295" s="25">
        <v>1.0</v>
      </c>
      <c r="H295" s="20">
        <f t="shared" si="1"/>
        <v>18000</v>
      </c>
      <c r="I295" s="19" t="s">
        <v>92</v>
      </c>
    </row>
    <row r="296" ht="15.0" customHeight="1">
      <c r="A296" s="24">
        <v>46045.0</v>
      </c>
      <c r="B296" s="19" t="s">
        <v>95</v>
      </c>
      <c r="C296" s="19" t="s">
        <v>90</v>
      </c>
      <c r="D296" s="19" t="s">
        <v>91</v>
      </c>
      <c r="E296" s="20">
        <v>0.0</v>
      </c>
      <c r="F296" s="20">
        <v>1.25</v>
      </c>
      <c r="G296" s="25">
        <v>1.0</v>
      </c>
      <c r="H296" s="20">
        <f t="shared" si="1"/>
        <v>1.25</v>
      </c>
      <c r="I296" s="19"/>
    </row>
    <row r="297" ht="23.25" customHeight="1">
      <c r="A297" s="24">
        <v>46045.0</v>
      </c>
      <c r="B297" s="19" t="s">
        <v>302</v>
      </c>
      <c r="C297" s="19" t="s">
        <v>166</v>
      </c>
      <c r="D297" s="19" t="s">
        <v>167</v>
      </c>
      <c r="E297" s="20">
        <v>1048.7</v>
      </c>
      <c r="F297" s="20">
        <v>8.0</v>
      </c>
      <c r="G297" s="25">
        <v>1.0</v>
      </c>
      <c r="H297" s="20">
        <f t="shared" si="1"/>
        <v>1056.7</v>
      </c>
      <c r="I297" s="19" t="s">
        <v>92</v>
      </c>
    </row>
    <row r="298" ht="23.25" customHeight="1">
      <c r="A298" s="24">
        <v>46046.0</v>
      </c>
      <c r="B298" s="19" t="s">
        <v>303</v>
      </c>
      <c r="C298" s="19" t="s">
        <v>248</v>
      </c>
      <c r="D298" s="19" t="s">
        <v>249</v>
      </c>
      <c r="E298" s="20">
        <v>22765.0</v>
      </c>
      <c r="F298" s="20">
        <v>8.0</v>
      </c>
      <c r="G298" s="25">
        <v>0.0</v>
      </c>
      <c r="H298" s="20">
        <f t="shared" si="1"/>
        <v>0</v>
      </c>
      <c r="I298" s="19" t="s">
        <v>92</v>
      </c>
    </row>
    <row r="299" ht="15.0" customHeight="1">
      <c r="A299" s="24">
        <v>46048.0</v>
      </c>
      <c r="B299" s="19" t="s">
        <v>304</v>
      </c>
      <c r="C299" s="19" t="s">
        <v>108</v>
      </c>
      <c r="D299" s="19" t="s">
        <v>109</v>
      </c>
      <c r="E299" s="20">
        <v>470.0</v>
      </c>
      <c r="F299" s="20">
        <v>8.5</v>
      </c>
      <c r="G299" s="25">
        <v>0.5</v>
      </c>
      <c r="H299" s="20">
        <f t="shared" si="1"/>
        <v>239.25</v>
      </c>
      <c r="I299" s="19" t="s">
        <v>92</v>
      </c>
    </row>
    <row r="300" ht="15.0" customHeight="1">
      <c r="A300" s="24">
        <v>46048.0</v>
      </c>
      <c r="B300" s="19" t="s">
        <v>95</v>
      </c>
      <c r="C300" s="19" t="s">
        <v>90</v>
      </c>
      <c r="D300" s="19" t="s">
        <v>91</v>
      </c>
      <c r="E300" s="20">
        <v>0.0</v>
      </c>
      <c r="F300" s="20">
        <v>1.25</v>
      </c>
      <c r="G300" s="25">
        <v>1.0</v>
      </c>
      <c r="H300" s="20">
        <f t="shared" si="1"/>
        <v>1.25</v>
      </c>
      <c r="I300" s="19"/>
    </row>
    <row r="301" ht="23.25" customHeight="1">
      <c r="A301" s="24">
        <v>46048.0</v>
      </c>
      <c r="B301" s="19" t="s">
        <v>305</v>
      </c>
      <c r="C301" s="19" t="s">
        <v>229</v>
      </c>
      <c r="D301" s="19" t="s">
        <v>230</v>
      </c>
      <c r="E301" s="20">
        <v>7000.0</v>
      </c>
      <c r="F301" s="20">
        <v>18.0</v>
      </c>
      <c r="G301" s="25">
        <v>1.0</v>
      </c>
      <c r="H301" s="20">
        <f t="shared" si="1"/>
        <v>7018</v>
      </c>
      <c r="I301" s="19" t="s">
        <v>92</v>
      </c>
    </row>
    <row r="302" ht="15.0" customHeight="1">
      <c r="A302" s="24">
        <v>46048.0</v>
      </c>
      <c r="B302" s="19" t="s">
        <v>95</v>
      </c>
      <c r="C302" s="19" t="s">
        <v>90</v>
      </c>
      <c r="D302" s="19" t="s">
        <v>91</v>
      </c>
      <c r="E302" s="20">
        <v>0.0</v>
      </c>
      <c r="F302" s="20">
        <v>1.25</v>
      </c>
      <c r="G302" s="25">
        <v>1.0</v>
      </c>
      <c r="H302" s="20">
        <f t="shared" si="1"/>
        <v>1.25</v>
      </c>
      <c r="I302" s="19"/>
    </row>
    <row r="303" ht="23.25" customHeight="1">
      <c r="A303" s="24">
        <v>46050.0</v>
      </c>
      <c r="B303" s="19" t="s">
        <v>306</v>
      </c>
      <c r="C303" s="19" t="s">
        <v>248</v>
      </c>
      <c r="D303" s="19" t="s">
        <v>249</v>
      </c>
      <c r="E303" s="20">
        <v>995.0</v>
      </c>
      <c r="F303" s="20">
        <v>8.0</v>
      </c>
      <c r="G303" s="25">
        <v>0.0</v>
      </c>
      <c r="H303" s="20">
        <f t="shared" si="1"/>
        <v>0</v>
      </c>
      <c r="I303" s="19" t="s">
        <v>92</v>
      </c>
    </row>
    <row r="304" ht="23.25" customHeight="1">
      <c r="A304" s="24">
        <v>46053.0</v>
      </c>
      <c r="B304" s="19" t="s">
        <v>307</v>
      </c>
      <c r="C304" s="19" t="s">
        <v>111</v>
      </c>
      <c r="D304" s="19" t="s">
        <v>194</v>
      </c>
      <c r="E304" s="20">
        <v>400.0</v>
      </c>
      <c r="F304" s="20">
        <v>8.0</v>
      </c>
      <c r="G304" s="25">
        <v>1.0</v>
      </c>
      <c r="H304" s="20">
        <f t="shared" si="1"/>
        <v>408</v>
      </c>
      <c r="I304" s="19" t="s">
        <v>92</v>
      </c>
    </row>
    <row r="305" ht="23.25" customHeight="1">
      <c r="A305" s="24">
        <v>46053.0</v>
      </c>
      <c r="B305" s="19" t="s">
        <v>308</v>
      </c>
      <c r="C305" s="19" t="s">
        <v>128</v>
      </c>
      <c r="D305" s="19" t="s">
        <v>179</v>
      </c>
      <c r="E305" s="20">
        <v>100.0</v>
      </c>
      <c r="F305" s="20">
        <v>8.0</v>
      </c>
      <c r="G305" s="25">
        <v>1.0</v>
      </c>
      <c r="H305" s="20">
        <f t="shared" si="1"/>
        <v>108</v>
      </c>
      <c r="I305" s="19" t="s">
        <v>92</v>
      </c>
    </row>
    <row r="306" ht="23.25" customHeight="1">
      <c r="A306" s="24">
        <v>46053.0</v>
      </c>
      <c r="B306" s="19" t="s">
        <v>309</v>
      </c>
      <c r="C306" s="19" t="s">
        <v>128</v>
      </c>
      <c r="D306" s="19" t="s">
        <v>179</v>
      </c>
      <c r="E306" s="20">
        <v>135.0</v>
      </c>
      <c r="F306" s="20">
        <v>8.0</v>
      </c>
      <c r="G306" s="25">
        <v>1.0</v>
      </c>
      <c r="H306" s="20">
        <f t="shared" si="1"/>
        <v>143</v>
      </c>
      <c r="I306" s="19" t="s">
        <v>92</v>
      </c>
    </row>
    <row r="307" ht="15.0" customHeight="1">
      <c r="A307" s="24">
        <v>46053.0</v>
      </c>
      <c r="B307" s="19" t="s">
        <v>310</v>
      </c>
      <c r="C307" s="19" t="s">
        <v>108</v>
      </c>
      <c r="D307" s="19" t="s">
        <v>141</v>
      </c>
      <c r="E307" s="20">
        <v>273.35</v>
      </c>
      <c r="F307" s="20">
        <v>24.0</v>
      </c>
      <c r="G307" s="25">
        <v>0.5</v>
      </c>
      <c r="H307" s="20">
        <f t="shared" si="1"/>
        <v>148.675</v>
      </c>
      <c r="I307" s="19" t="s">
        <v>92</v>
      </c>
    </row>
    <row r="308" ht="23.25" customHeight="1">
      <c r="A308" s="24">
        <v>46054.0</v>
      </c>
      <c r="B308" s="19" t="s">
        <v>311</v>
      </c>
      <c r="C308" s="19" t="s">
        <v>128</v>
      </c>
      <c r="D308" s="19" t="s">
        <v>179</v>
      </c>
      <c r="E308" s="20">
        <v>61.0</v>
      </c>
      <c r="F308" s="20">
        <v>0.0</v>
      </c>
      <c r="G308" s="25">
        <v>1.0</v>
      </c>
      <c r="H308" s="20">
        <f t="shared" si="1"/>
        <v>61</v>
      </c>
      <c r="I308" s="19" t="s">
        <v>92</v>
      </c>
    </row>
    <row r="309" ht="23.25" customHeight="1">
      <c r="A309" s="24">
        <v>46054.0</v>
      </c>
      <c r="B309" s="19" t="s">
        <v>312</v>
      </c>
      <c r="C309" s="19" t="s">
        <v>99</v>
      </c>
      <c r="D309" s="19" t="s">
        <v>159</v>
      </c>
      <c r="E309" s="20">
        <v>366.6</v>
      </c>
      <c r="F309" s="20">
        <v>9.17</v>
      </c>
      <c r="G309" s="25">
        <v>1.0</v>
      </c>
      <c r="H309" s="20">
        <f t="shared" si="1"/>
        <v>375.77</v>
      </c>
      <c r="I309" s="19" t="s">
        <v>92</v>
      </c>
    </row>
    <row r="310" ht="23.25" customHeight="1">
      <c r="A310" s="24">
        <v>46054.0</v>
      </c>
      <c r="B310" s="19" t="s">
        <v>311</v>
      </c>
      <c r="C310" s="19" t="s">
        <v>128</v>
      </c>
      <c r="D310" s="19" t="s">
        <v>179</v>
      </c>
      <c r="E310" s="20">
        <v>52.0</v>
      </c>
      <c r="F310" s="20">
        <v>0.0</v>
      </c>
      <c r="G310" s="25">
        <v>1.0</v>
      </c>
      <c r="H310" s="20">
        <f t="shared" si="1"/>
        <v>52</v>
      </c>
      <c r="I310" s="19" t="s">
        <v>92</v>
      </c>
    </row>
    <row r="311" ht="15.0" customHeight="1">
      <c r="A311" s="24">
        <v>46054.0</v>
      </c>
      <c r="B311" s="19" t="s">
        <v>173</v>
      </c>
      <c r="C311" s="19" t="s">
        <v>90</v>
      </c>
      <c r="D311" s="19" t="s">
        <v>91</v>
      </c>
      <c r="E311" s="20">
        <v>110.43</v>
      </c>
      <c r="F311" s="20">
        <v>0.0</v>
      </c>
      <c r="G311" s="25">
        <v>1.0</v>
      </c>
      <c r="H311" s="20">
        <f t="shared" si="1"/>
        <v>110.43</v>
      </c>
      <c r="I311" s="19" t="s">
        <v>92</v>
      </c>
    </row>
    <row r="312" ht="15.0" customHeight="1">
      <c r="A312" s="24">
        <v>46054.0</v>
      </c>
      <c r="B312" s="19" t="s">
        <v>102</v>
      </c>
      <c r="C312" s="19" t="s">
        <v>90</v>
      </c>
      <c r="D312" s="19" t="s">
        <v>91</v>
      </c>
      <c r="E312" s="20">
        <v>19.75</v>
      </c>
      <c r="F312" s="20">
        <v>0.0</v>
      </c>
      <c r="G312" s="25">
        <v>1.0</v>
      </c>
      <c r="H312" s="20">
        <f t="shared" si="1"/>
        <v>19.75</v>
      </c>
      <c r="I312" s="19" t="s">
        <v>92</v>
      </c>
    </row>
    <row r="313" ht="34.5" customHeight="1">
      <c r="A313" s="24">
        <v>46054.0</v>
      </c>
      <c r="B313" s="19" t="s">
        <v>313</v>
      </c>
      <c r="C313" s="19" t="s">
        <v>90</v>
      </c>
      <c r="D313" s="19" t="s">
        <v>91</v>
      </c>
      <c r="E313" s="20">
        <v>210.0</v>
      </c>
      <c r="F313" s="20">
        <v>0.0</v>
      </c>
      <c r="G313" s="25">
        <v>1.0</v>
      </c>
      <c r="H313" s="20">
        <f t="shared" si="1"/>
        <v>210</v>
      </c>
      <c r="I313" s="19" t="s">
        <v>92</v>
      </c>
    </row>
    <row r="314" ht="23.25" customHeight="1">
      <c r="A314" s="24">
        <v>46056.0</v>
      </c>
      <c r="B314" s="19" t="s">
        <v>314</v>
      </c>
      <c r="C314" s="19" t="s">
        <v>111</v>
      </c>
      <c r="D314" s="19" t="s">
        <v>194</v>
      </c>
      <c r="E314" s="20">
        <v>200.0</v>
      </c>
      <c r="F314" s="20">
        <v>0.0</v>
      </c>
      <c r="G314" s="25">
        <v>1.0</v>
      </c>
      <c r="H314" s="20">
        <f t="shared" si="1"/>
        <v>200</v>
      </c>
      <c r="I314" s="19" t="s">
        <v>92</v>
      </c>
    </row>
    <row r="315" ht="23.25" customHeight="1">
      <c r="A315" s="24">
        <v>46056.0</v>
      </c>
      <c r="B315" s="19" t="s">
        <v>315</v>
      </c>
      <c r="C315" s="19" t="s">
        <v>108</v>
      </c>
      <c r="D315" s="19" t="s">
        <v>155</v>
      </c>
      <c r="E315" s="20">
        <v>1023.5</v>
      </c>
      <c r="F315" s="20">
        <v>0.0</v>
      </c>
      <c r="G315" s="25">
        <v>0.5</v>
      </c>
      <c r="H315" s="20">
        <f t="shared" si="1"/>
        <v>511.75</v>
      </c>
      <c r="I315" s="19" t="s">
        <v>92</v>
      </c>
    </row>
    <row r="316" ht="23.25" customHeight="1">
      <c r="A316" s="24">
        <v>46056.0</v>
      </c>
      <c r="B316" s="19" t="s">
        <v>316</v>
      </c>
      <c r="C316" s="19" t="s">
        <v>99</v>
      </c>
      <c r="D316" s="19" t="s">
        <v>175</v>
      </c>
      <c r="E316" s="20">
        <v>468.36</v>
      </c>
      <c r="F316" s="20">
        <v>11.71</v>
      </c>
      <c r="G316" s="25">
        <v>1.0</v>
      </c>
      <c r="H316" s="20">
        <f t="shared" si="1"/>
        <v>480.07</v>
      </c>
      <c r="I316" s="19" t="s">
        <v>92</v>
      </c>
    </row>
    <row r="317" ht="23.25" customHeight="1">
      <c r="A317" s="24">
        <v>46057.0</v>
      </c>
      <c r="B317" s="19" t="s">
        <v>317</v>
      </c>
      <c r="C317" s="19" t="s">
        <v>111</v>
      </c>
      <c r="D317" s="19" t="s">
        <v>194</v>
      </c>
      <c r="E317" s="20">
        <v>200.0</v>
      </c>
      <c r="F317" s="20">
        <v>0.0</v>
      </c>
      <c r="G317" s="25">
        <v>1.0</v>
      </c>
      <c r="H317" s="20">
        <f t="shared" si="1"/>
        <v>200</v>
      </c>
      <c r="I317" s="19" t="s">
        <v>92</v>
      </c>
    </row>
    <row r="318" ht="23.25" customHeight="1">
      <c r="A318" s="24">
        <v>46057.0</v>
      </c>
      <c r="B318" s="19" t="s">
        <v>318</v>
      </c>
      <c r="C318" s="19" t="s">
        <v>166</v>
      </c>
      <c r="D318" s="19" t="s">
        <v>167</v>
      </c>
      <c r="E318" s="20">
        <v>123.45</v>
      </c>
      <c r="F318" s="20">
        <v>0.0</v>
      </c>
      <c r="G318" s="25">
        <v>1.0</v>
      </c>
      <c r="H318" s="20">
        <f t="shared" si="1"/>
        <v>123.45</v>
      </c>
      <c r="I318" s="19" t="s">
        <v>92</v>
      </c>
    </row>
    <row r="319" ht="23.25" customHeight="1">
      <c r="A319" s="24">
        <v>46057.0</v>
      </c>
      <c r="B319" s="19" t="s">
        <v>319</v>
      </c>
      <c r="C319" s="19" t="s">
        <v>128</v>
      </c>
      <c r="D319" s="19" t="s">
        <v>179</v>
      </c>
      <c r="E319" s="20">
        <v>279.0</v>
      </c>
      <c r="F319" s="20">
        <v>0.0</v>
      </c>
      <c r="G319" s="25">
        <v>1.0</v>
      </c>
      <c r="H319" s="20">
        <f t="shared" si="1"/>
        <v>279</v>
      </c>
      <c r="I319" s="19" t="s">
        <v>92</v>
      </c>
    </row>
    <row r="320" ht="15.0" customHeight="1">
      <c r="A320" s="24">
        <v>46058.0</v>
      </c>
      <c r="B320" s="19" t="s">
        <v>320</v>
      </c>
      <c r="C320" s="19" t="s">
        <v>321</v>
      </c>
      <c r="D320" s="19" t="s">
        <v>322</v>
      </c>
      <c r="E320" s="20">
        <v>7095.0</v>
      </c>
      <c r="F320" s="20">
        <v>0.0</v>
      </c>
      <c r="G320" s="25">
        <v>1.0</v>
      </c>
      <c r="H320" s="20">
        <f t="shared" si="1"/>
        <v>7095</v>
      </c>
      <c r="I320" s="19" t="s">
        <v>92</v>
      </c>
    </row>
    <row r="321" ht="15.0" customHeight="1">
      <c r="A321" s="24">
        <v>46058.0</v>
      </c>
      <c r="B321" s="19" t="s">
        <v>95</v>
      </c>
      <c r="C321" s="19" t="s">
        <v>90</v>
      </c>
      <c r="D321" s="19" t="s">
        <v>91</v>
      </c>
      <c r="E321" s="20">
        <v>0.0</v>
      </c>
      <c r="F321" s="20">
        <v>1.25</v>
      </c>
      <c r="G321" s="25">
        <v>1.0</v>
      </c>
      <c r="H321" s="20">
        <f t="shared" si="1"/>
        <v>1.25</v>
      </c>
      <c r="I321" s="19"/>
    </row>
    <row r="322" ht="23.25" customHeight="1">
      <c r="A322" s="24">
        <v>46058.0</v>
      </c>
      <c r="B322" s="19" t="s">
        <v>319</v>
      </c>
      <c r="C322" s="19" t="s">
        <v>128</v>
      </c>
      <c r="D322" s="19" t="s">
        <v>179</v>
      </c>
      <c r="E322" s="20">
        <v>222.0</v>
      </c>
      <c r="F322" s="20">
        <v>0.0</v>
      </c>
      <c r="G322" s="25">
        <v>1.0</v>
      </c>
      <c r="H322" s="20">
        <f t="shared" si="1"/>
        <v>222</v>
      </c>
      <c r="I322" s="19" t="s">
        <v>92</v>
      </c>
    </row>
    <row r="323" ht="23.25" customHeight="1">
      <c r="A323" s="24">
        <v>46058.0</v>
      </c>
      <c r="B323" s="19" t="s">
        <v>319</v>
      </c>
      <c r="C323" s="19" t="s">
        <v>128</v>
      </c>
      <c r="D323" s="19" t="s">
        <v>179</v>
      </c>
      <c r="E323" s="20">
        <v>77.0</v>
      </c>
      <c r="F323" s="20">
        <v>0.0</v>
      </c>
      <c r="G323" s="25">
        <v>1.0</v>
      </c>
      <c r="H323" s="20">
        <f t="shared" si="1"/>
        <v>77</v>
      </c>
      <c r="I323" s="19" t="s">
        <v>92</v>
      </c>
    </row>
    <row r="324" ht="23.25" customHeight="1">
      <c r="A324" s="24">
        <v>46058.0</v>
      </c>
      <c r="B324" s="19" t="s">
        <v>319</v>
      </c>
      <c r="C324" s="19" t="s">
        <v>128</v>
      </c>
      <c r="D324" s="19" t="s">
        <v>179</v>
      </c>
      <c r="E324" s="20">
        <v>70.0</v>
      </c>
      <c r="F324" s="20">
        <v>0.0</v>
      </c>
      <c r="G324" s="25">
        <v>1.0</v>
      </c>
      <c r="H324" s="20">
        <f t="shared" si="1"/>
        <v>70</v>
      </c>
      <c r="I324" s="19" t="s">
        <v>92</v>
      </c>
    </row>
    <row r="325" ht="23.25" customHeight="1">
      <c r="A325" s="24">
        <v>46058.0</v>
      </c>
      <c r="B325" s="19" t="s">
        <v>323</v>
      </c>
      <c r="C325" s="19" t="s">
        <v>128</v>
      </c>
      <c r="D325" s="19" t="s">
        <v>179</v>
      </c>
      <c r="E325" s="20">
        <v>145.0</v>
      </c>
      <c r="F325" s="20">
        <v>0.0</v>
      </c>
      <c r="G325" s="25">
        <v>1.0</v>
      </c>
      <c r="H325" s="20">
        <f t="shared" si="1"/>
        <v>145</v>
      </c>
      <c r="I325" s="19" t="s">
        <v>92</v>
      </c>
    </row>
    <row r="326" ht="23.25" customHeight="1">
      <c r="A326" s="24">
        <v>46059.0</v>
      </c>
      <c r="B326" s="19" t="s">
        <v>324</v>
      </c>
      <c r="C326" s="19" t="s">
        <v>128</v>
      </c>
      <c r="D326" s="19" t="s">
        <v>179</v>
      </c>
      <c r="E326" s="20">
        <v>52.0</v>
      </c>
      <c r="F326" s="20">
        <v>0.0</v>
      </c>
      <c r="G326" s="25">
        <v>1.0</v>
      </c>
      <c r="H326" s="20">
        <f t="shared" si="1"/>
        <v>52</v>
      </c>
      <c r="I326" s="19" t="s">
        <v>92</v>
      </c>
    </row>
    <row r="327" ht="23.25" customHeight="1">
      <c r="A327" s="24">
        <v>46060.0</v>
      </c>
      <c r="B327" s="19" t="s">
        <v>325</v>
      </c>
      <c r="C327" s="19" t="s">
        <v>128</v>
      </c>
      <c r="D327" s="19" t="s">
        <v>179</v>
      </c>
      <c r="E327" s="20">
        <v>46.0</v>
      </c>
      <c r="F327" s="20">
        <v>0.0</v>
      </c>
      <c r="G327" s="25">
        <v>1.0</v>
      </c>
      <c r="H327" s="20">
        <f t="shared" si="1"/>
        <v>46</v>
      </c>
      <c r="I327" s="19" t="s">
        <v>92</v>
      </c>
    </row>
    <row r="328" ht="23.25" customHeight="1">
      <c r="A328" s="24">
        <v>46061.0</v>
      </c>
      <c r="B328" s="19" t="s">
        <v>325</v>
      </c>
      <c r="C328" s="19" t="s">
        <v>128</v>
      </c>
      <c r="D328" s="19" t="s">
        <v>179</v>
      </c>
      <c r="E328" s="20">
        <v>59.0</v>
      </c>
      <c r="F328" s="20">
        <v>0.0</v>
      </c>
      <c r="G328" s="25">
        <v>1.0</v>
      </c>
      <c r="H328" s="20">
        <f t="shared" si="1"/>
        <v>59</v>
      </c>
      <c r="I328" s="19" t="s">
        <v>92</v>
      </c>
    </row>
    <row r="329" ht="23.25" customHeight="1">
      <c r="A329" s="24">
        <v>46064.0</v>
      </c>
      <c r="B329" s="19" t="s">
        <v>326</v>
      </c>
      <c r="C329" s="19" t="s">
        <v>150</v>
      </c>
      <c r="D329" s="19" t="s">
        <v>151</v>
      </c>
      <c r="E329" s="20">
        <v>151.8</v>
      </c>
      <c r="F329" s="20">
        <v>8.0</v>
      </c>
      <c r="G329" s="25">
        <v>1.0</v>
      </c>
      <c r="H329" s="20">
        <f t="shared" si="1"/>
        <v>159.8</v>
      </c>
      <c r="I329" s="19" t="s">
        <v>92</v>
      </c>
    </row>
    <row r="330" ht="23.25" customHeight="1">
      <c r="A330" s="26">
        <v>46064.0</v>
      </c>
      <c r="B330" s="27" t="s">
        <v>327</v>
      </c>
      <c r="C330" s="27" t="s">
        <v>328</v>
      </c>
      <c r="D330" s="27" t="s">
        <v>329</v>
      </c>
      <c r="E330" s="28">
        <v>1543.0</v>
      </c>
      <c r="F330" s="28">
        <v>8.0</v>
      </c>
      <c r="G330" s="29">
        <v>0.0</v>
      </c>
      <c r="H330" s="28">
        <f t="shared" si="1"/>
        <v>0</v>
      </c>
      <c r="I330" s="27" t="s">
        <v>92</v>
      </c>
    </row>
    <row r="331" ht="23.25" customHeight="1">
      <c r="A331" s="24">
        <v>46064.0</v>
      </c>
      <c r="B331" s="19" t="s">
        <v>330</v>
      </c>
      <c r="C331" s="19" t="s">
        <v>128</v>
      </c>
      <c r="D331" s="19" t="s">
        <v>179</v>
      </c>
      <c r="E331" s="20">
        <v>54.0</v>
      </c>
      <c r="F331" s="20">
        <v>8.0</v>
      </c>
      <c r="G331" s="25">
        <v>1.0</v>
      </c>
      <c r="H331" s="20">
        <f t="shared" si="1"/>
        <v>62</v>
      </c>
      <c r="I331" s="19" t="s">
        <v>92</v>
      </c>
    </row>
    <row r="332" ht="15.0" customHeight="1">
      <c r="A332" s="24">
        <v>46065.0</v>
      </c>
      <c r="B332" s="19" t="s">
        <v>228</v>
      </c>
      <c r="C332" s="19" t="s">
        <v>229</v>
      </c>
      <c r="D332" s="19" t="s">
        <v>230</v>
      </c>
      <c r="E332" s="20">
        <v>7000.0</v>
      </c>
      <c r="F332" s="20">
        <v>18.0</v>
      </c>
      <c r="G332" s="25">
        <v>1.0</v>
      </c>
      <c r="H332" s="20">
        <f t="shared" si="1"/>
        <v>7018</v>
      </c>
      <c r="I332" s="19" t="s">
        <v>92</v>
      </c>
    </row>
    <row r="333" ht="15.0" customHeight="1">
      <c r="A333" s="24">
        <v>46065.0</v>
      </c>
      <c r="B333" s="19" t="s">
        <v>95</v>
      </c>
      <c r="C333" s="19" t="s">
        <v>90</v>
      </c>
      <c r="D333" s="19" t="s">
        <v>91</v>
      </c>
      <c r="E333" s="20">
        <v>0.0</v>
      </c>
      <c r="F333" s="20">
        <v>1.25</v>
      </c>
      <c r="G333" s="25">
        <v>1.0</v>
      </c>
      <c r="H333" s="20">
        <f t="shared" si="1"/>
        <v>1.25</v>
      </c>
      <c r="I333" s="19"/>
    </row>
    <row r="334" ht="23.25" customHeight="1">
      <c r="A334" s="24">
        <v>46065.0</v>
      </c>
      <c r="B334" s="19" t="s">
        <v>330</v>
      </c>
      <c r="C334" s="19" t="s">
        <v>128</v>
      </c>
      <c r="D334" s="19" t="s">
        <v>179</v>
      </c>
      <c r="E334" s="20">
        <v>77.0</v>
      </c>
      <c r="F334" s="20">
        <v>8.0</v>
      </c>
      <c r="G334" s="25">
        <v>1.0</v>
      </c>
      <c r="H334" s="20">
        <f t="shared" si="1"/>
        <v>85</v>
      </c>
      <c r="I334" s="19" t="s">
        <v>92</v>
      </c>
    </row>
    <row r="335" ht="23.25" customHeight="1">
      <c r="A335" s="24">
        <v>46065.0</v>
      </c>
      <c r="B335" s="19" t="s">
        <v>331</v>
      </c>
      <c r="C335" s="19" t="s">
        <v>128</v>
      </c>
      <c r="D335" s="19" t="s">
        <v>179</v>
      </c>
      <c r="E335" s="20">
        <v>43.0</v>
      </c>
      <c r="F335" s="20">
        <v>8.0</v>
      </c>
      <c r="G335" s="25">
        <v>1.0</v>
      </c>
      <c r="H335" s="20">
        <f t="shared" si="1"/>
        <v>51</v>
      </c>
      <c r="I335" s="19" t="s">
        <v>92</v>
      </c>
    </row>
    <row r="336" ht="23.25" customHeight="1">
      <c r="A336" s="24">
        <v>46066.0</v>
      </c>
      <c r="B336" s="19" t="s">
        <v>331</v>
      </c>
      <c r="C336" s="19" t="s">
        <v>128</v>
      </c>
      <c r="D336" s="19" t="s">
        <v>179</v>
      </c>
      <c r="E336" s="20">
        <v>80.0</v>
      </c>
      <c r="F336" s="20">
        <v>8.0</v>
      </c>
      <c r="G336" s="25">
        <v>1.0</v>
      </c>
      <c r="H336" s="20">
        <f t="shared" si="1"/>
        <v>88</v>
      </c>
      <c r="I336" s="19" t="s">
        <v>92</v>
      </c>
    </row>
    <row r="337" ht="23.25" customHeight="1">
      <c r="A337" s="24">
        <v>46066.0</v>
      </c>
      <c r="B337" s="19" t="s">
        <v>332</v>
      </c>
      <c r="C337" s="19" t="s">
        <v>128</v>
      </c>
      <c r="D337" s="19" t="s">
        <v>179</v>
      </c>
      <c r="E337" s="20">
        <v>84.0</v>
      </c>
      <c r="F337" s="20">
        <v>8.0</v>
      </c>
      <c r="G337" s="25">
        <v>1.0</v>
      </c>
      <c r="H337" s="20">
        <f t="shared" si="1"/>
        <v>92</v>
      </c>
      <c r="I337" s="19" t="s">
        <v>92</v>
      </c>
    </row>
    <row r="338" ht="23.25" customHeight="1">
      <c r="A338" s="24">
        <v>46067.0</v>
      </c>
      <c r="B338" s="19" t="s">
        <v>332</v>
      </c>
      <c r="C338" s="19" t="s">
        <v>128</v>
      </c>
      <c r="D338" s="19" t="s">
        <v>179</v>
      </c>
      <c r="E338" s="20">
        <v>102.0</v>
      </c>
      <c r="F338" s="20">
        <v>8.0</v>
      </c>
      <c r="G338" s="25">
        <v>1.0</v>
      </c>
      <c r="H338" s="20">
        <f t="shared" si="1"/>
        <v>110</v>
      </c>
      <c r="I338" s="19" t="s">
        <v>92</v>
      </c>
    </row>
    <row r="339" ht="23.25" customHeight="1">
      <c r="A339" s="24">
        <v>46067.0</v>
      </c>
      <c r="B339" s="19" t="s">
        <v>333</v>
      </c>
      <c r="C339" s="19" t="s">
        <v>128</v>
      </c>
      <c r="D339" s="19" t="s">
        <v>179</v>
      </c>
      <c r="E339" s="20">
        <v>40.0</v>
      </c>
      <c r="F339" s="20">
        <v>8.0</v>
      </c>
      <c r="G339" s="25">
        <v>1.0</v>
      </c>
      <c r="H339" s="20">
        <f t="shared" si="1"/>
        <v>48</v>
      </c>
      <c r="I339" s="19" t="s">
        <v>92</v>
      </c>
    </row>
    <row r="340" ht="23.25" customHeight="1">
      <c r="A340" s="24">
        <v>46067.0</v>
      </c>
      <c r="B340" s="19" t="s">
        <v>334</v>
      </c>
      <c r="C340" s="19" t="s">
        <v>108</v>
      </c>
      <c r="D340" s="19" t="s">
        <v>169</v>
      </c>
      <c r="E340" s="20">
        <v>22.0</v>
      </c>
      <c r="F340" s="20">
        <v>8.0</v>
      </c>
      <c r="G340" s="25">
        <v>0.5</v>
      </c>
      <c r="H340" s="20">
        <f t="shared" si="1"/>
        <v>15</v>
      </c>
      <c r="I340" s="19" t="s">
        <v>92</v>
      </c>
    </row>
    <row r="341" ht="23.25" customHeight="1">
      <c r="A341" s="24">
        <v>46068.0</v>
      </c>
      <c r="B341" s="19" t="s">
        <v>335</v>
      </c>
      <c r="C341" s="19" t="s">
        <v>128</v>
      </c>
      <c r="D341" s="19" t="s">
        <v>179</v>
      </c>
      <c r="E341" s="20">
        <v>173.0</v>
      </c>
      <c r="F341" s="20">
        <v>8.0</v>
      </c>
      <c r="G341" s="25">
        <v>1.0</v>
      </c>
      <c r="H341" s="20">
        <f t="shared" si="1"/>
        <v>181</v>
      </c>
      <c r="I341" s="19" t="s">
        <v>92</v>
      </c>
    </row>
    <row r="342" ht="23.25" customHeight="1">
      <c r="A342" s="24">
        <v>46071.0</v>
      </c>
      <c r="B342" s="19" t="s">
        <v>336</v>
      </c>
      <c r="C342" s="19" t="s">
        <v>128</v>
      </c>
      <c r="D342" s="19" t="s">
        <v>179</v>
      </c>
      <c r="E342" s="20">
        <v>41.0</v>
      </c>
      <c r="F342" s="20">
        <v>8.0</v>
      </c>
      <c r="G342" s="25">
        <v>1.0</v>
      </c>
      <c r="H342" s="20">
        <f t="shared" si="1"/>
        <v>49</v>
      </c>
      <c r="I342" s="19" t="s">
        <v>92</v>
      </c>
    </row>
    <row r="343" ht="23.25" customHeight="1">
      <c r="A343" s="24">
        <v>46072.0</v>
      </c>
      <c r="B343" s="19" t="s">
        <v>336</v>
      </c>
      <c r="C343" s="19" t="s">
        <v>128</v>
      </c>
      <c r="D343" s="19" t="s">
        <v>179</v>
      </c>
      <c r="E343" s="20">
        <v>55.0</v>
      </c>
      <c r="F343" s="20">
        <v>8.0</v>
      </c>
      <c r="G343" s="25">
        <v>1.0</v>
      </c>
      <c r="H343" s="20">
        <f t="shared" si="1"/>
        <v>63</v>
      </c>
      <c r="I343" s="19" t="s">
        <v>92</v>
      </c>
    </row>
    <row r="344" ht="23.25" customHeight="1">
      <c r="A344" s="24">
        <v>46072.0</v>
      </c>
      <c r="B344" s="19" t="s">
        <v>337</v>
      </c>
      <c r="C344" s="19" t="s">
        <v>128</v>
      </c>
      <c r="D344" s="19" t="s">
        <v>179</v>
      </c>
      <c r="E344" s="20">
        <v>82.0</v>
      </c>
      <c r="F344" s="20">
        <v>8.0</v>
      </c>
      <c r="G344" s="25">
        <v>1.0</v>
      </c>
      <c r="H344" s="20">
        <f t="shared" si="1"/>
        <v>90</v>
      </c>
      <c r="I344" s="19" t="s">
        <v>92</v>
      </c>
    </row>
    <row r="345" ht="23.25" customHeight="1">
      <c r="A345" s="24">
        <v>46072.0</v>
      </c>
      <c r="B345" s="19" t="s">
        <v>337</v>
      </c>
      <c r="C345" s="19" t="s">
        <v>128</v>
      </c>
      <c r="D345" s="19" t="s">
        <v>179</v>
      </c>
      <c r="E345" s="20">
        <v>38.0</v>
      </c>
      <c r="F345" s="20">
        <v>8.0</v>
      </c>
      <c r="G345" s="25">
        <v>1.0</v>
      </c>
      <c r="H345" s="20">
        <f t="shared" si="1"/>
        <v>46</v>
      </c>
      <c r="I345" s="19" t="s">
        <v>92</v>
      </c>
    </row>
    <row r="346" ht="23.25" customHeight="1">
      <c r="A346" s="24">
        <v>46072.0</v>
      </c>
      <c r="B346" s="19" t="s">
        <v>338</v>
      </c>
      <c r="C346" s="19" t="s">
        <v>111</v>
      </c>
      <c r="D346" s="19" t="s">
        <v>339</v>
      </c>
      <c r="E346" s="20">
        <v>31000.0</v>
      </c>
      <c r="F346" s="20">
        <v>8.0</v>
      </c>
      <c r="G346" s="25">
        <v>1.0</v>
      </c>
      <c r="H346" s="20">
        <f t="shared" si="1"/>
        <v>31008</v>
      </c>
      <c r="I346" s="19" t="s">
        <v>92</v>
      </c>
    </row>
    <row r="347" ht="23.25" customHeight="1">
      <c r="A347" s="24">
        <v>46074.0</v>
      </c>
      <c r="B347" s="19" t="s">
        <v>340</v>
      </c>
      <c r="C347" s="19" t="s">
        <v>128</v>
      </c>
      <c r="D347" s="19" t="s">
        <v>179</v>
      </c>
      <c r="E347" s="20">
        <v>48.0</v>
      </c>
      <c r="F347" s="20">
        <v>8.0</v>
      </c>
      <c r="G347" s="25">
        <v>1.0</v>
      </c>
      <c r="H347" s="20">
        <f t="shared" si="1"/>
        <v>56</v>
      </c>
      <c r="I347" s="19" t="s">
        <v>92</v>
      </c>
    </row>
    <row r="348" ht="23.25" customHeight="1">
      <c r="A348" s="24">
        <v>46075.0</v>
      </c>
      <c r="B348" s="19" t="s">
        <v>340</v>
      </c>
      <c r="C348" s="19" t="s">
        <v>128</v>
      </c>
      <c r="D348" s="19" t="s">
        <v>179</v>
      </c>
      <c r="E348" s="20">
        <v>62.0</v>
      </c>
      <c r="F348" s="20">
        <v>8.0</v>
      </c>
      <c r="G348" s="25">
        <v>1.0</v>
      </c>
      <c r="H348" s="20">
        <f t="shared" si="1"/>
        <v>70</v>
      </c>
      <c r="I348" s="19" t="s">
        <v>92</v>
      </c>
    </row>
    <row r="349" ht="23.25" customHeight="1">
      <c r="A349" s="24">
        <v>46075.0</v>
      </c>
      <c r="B349" s="19" t="s">
        <v>340</v>
      </c>
      <c r="C349" s="19" t="s">
        <v>128</v>
      </c>
      <c r="D349" s="19" t="s">
        <v>179</v>
      </c>
      <c r="E349" s="20">
        <v>60.0</v>
      </c>
      <c r="F349" s="20">
        <v>8.0</v>
      </c>
      <c r="G349" s="25">
        <v>1.0</v>
      </c>
      <c r="H349" s="20">
        <f t="shared" si="1"/>
        <v>68</v>
      </c>
      <c r="I349" s="19" t="s">
        <v>92</v>
      </c>
    </row>
    <row r="350" ht="23.25" customHeight="1">
      <c r="A350" s="24">
        <v>46079.0</v>
      </c>
      <c r="B350" s="19" t="s">
        <v>341</v>
      </c>
      <c r="C350" s="19" t="s">
        <v>128</v>
      </c>
      <c r="D350" s="19" t="s">
        <v>179</v>
      </c>
      <c r="E350" s="20">
        <v>65.0</v>
      </c>
      <c r="F350" s="20">
        <v>8.0</v>
      </c>
      <c r="G350" s="25">
        <v>1.0</v>
      </c>
      <c r="H350" s="20">
        <f t="shared" si="1"/>
        <v>73</v>
      </c>
      <c r="I350" s="19" t="s">
        <v>92</v>
      </c>
    </row>
    <row r="351" ht="23.25" customHeight="1">
      <c r="A351" s="24">
        <v>46079.0</v>
      </c>
      <c r="B351" s="19" t="s">
        <v>341</v>
      </c>
      <c r="C351" s="19" t="s">
        <v>128</v>
      </c>
      <c r="D351" s="19" t="s">
        <v>179</v>
      </c>
      <c r="E351" s="20">
        <v>53.0</v>
      </c>
      <c r="F351" s="20">
        <v>8.0</v>
      </c>
      <c r="G351" s="25">
        <v>1.0</v>
      </c>
      <c r="H351" s="20">
        <f t="shared" si="1"/>
        <v>61</v>
      </c>
      <c r="I351" s="19" t="s">
        <v>92</v>
      </c>
    </row>
    <row r="352" ht="15.0" customHeight="1">
      <c r="A352" s="24">
        <v>46079.0</v>
      </c>
      <c r="B352" s="19" t="s">
        <v>342</v>
      </c>
      <c r="C352" s="19" t="s">
        <v>128</v>
      </c>
      <c r="D352" s="19" t="s">
        <v>179</v>
      </c>
      <c r="E352" s="20">
        <v>39.0</v>
      </c>
      <c r="F352" s="20">
        <v>8.0</v>
      </c>
      <c r="G352" s="25">
        <v>1.0</v>
      </c>
      <c r="H352" s="20">
        <f t="shared" si="1"/>
        <v>47</v>
      </c>
      <c r="I352" s="19" t="s">
        <v>92</v>
      </c>
    </row>
    <row r="353" ht="23.25" customHeight="1">
      <c r="A353" s="24">
        <v>46081.0</v>
      </c>
      <c r="B353" s="19" t="s">
        <v>343</v>
      </c>
      <c r="C353" s="19" t="s">
        <v>128</v>
      </c>
      <c r="D353" s="19" t="s">
        <v>179</v>
      </c>
      <c r="E353" s="20">
        <v>43.0</v>
      </c>
      <c r="F353" s="20">
        <v>8.0</v>
      </c>
      <c r="G353" s="25">
        <v>1.0</v>
      </c>
      <c r="H353" s="20">
        <f t="shared" si="1"/>
        <v>51</v>
      </c>
      <c r="I353" s="19" t="s">
        <v>92</v>
      </c>
    </row>
    <row r="354" ht="15.0" customHeight="1">
      <c r="A354" s="24">
        <v>46081.0</v>
      </c>
      <c r="B354" s="19" t="s">
        <v>344</v>
      </c>
      <c r="C354" s="19" t="s">
        <v>108</v>
      </c>
      <c r="D354" s="19" t="s">
        <v>141</v>
      </c>
      <c r="E354" s="20">
        <v>273.35</v>
      </c>
      <c r="F354" s="20">
        <v>24.0</v>
      </c>
      <c r="G354" s="25">
        <v>0.5</v>
      </c>
      <c r="H354" s="20">
        <f t="shared" si="1"/>
        <v>148.675</v>
      </c>
      <c r="I354" s="19" t="s">
        <v>92</v>
      </c>
    </row>
    <row r="355" ht="15.0" customHeight="1">
      <c r="A355" s="3"/>
      <c r="B355" s="3"/>
      <c r="C355" s="3"/>
      <c r="D355" s="21" t="s">
        <v>345</v>
      </c>
      <c r="E355" s="21">
        <f t="shared" ref="E355:F355" si="2">SUM(E5:E354)</f>
        <v>798345.17</v>
      </c>
      <c r="F355" s="21">
        <f t="shared" si="2"/>
        <v>1248.12</v>
      </c>
      <c r="G355" s="3"/>
      <c r="H355" s="21">
        <f>SUM(H5:H354)</f>
        <v>376689.73</v>
      </c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0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18.0"/>
    <col customWidth="1" min="4" max="4" width="14.0"/>
    <col customWidth="1" min="5" max="5" width="20.0"/>
    <col customWidth="1" min="6" max="6" width="60.0"/>
    <col customWidth="1" min="7" max="26" width="8.71"/>
  </cols>
  <sheetData>
    <row r="1" ht="19.5" customHeight="1">
      <c r="A1" s="1" t="s">
        <v>346</v>
      </c>
    </row>
    <row r="2" ht="15.0" customHeight="1">
      <c r="A2" s="2" t="s">
        <v>347</v>
      </c>
    </row>
    <row r="3">
      <c r="A3" s="3"/>
      <c r="B3" s="3"/>
      <c r="C3" s="3"/>
      <c r="D3" s="3"/>
      <c r="E3" s="3"/>
      <c r="F3" s="3"/>
    </row>
    <row r="4" ht="26.25" customHeight="1">
      <c r="A4" s="17" t="s">
        <v>83</v>
      </c>
      <c r="B4" s="17" t="s">
        <v>348</v>
      </c>
      <c r="C4" s="17" t="s">
        <v>349</v>
      </c>
      <c r="D4" s="17" t="s">
        <v>350</v>
      </c>
      <c r="E4" s="17" t="s">
        <v>351</v>
      </c>
      <c r="F4" s="17" t="s">
        <v>352</v>
      </c>
    </row>
    <row r="5" ht="15.0" customHeight="1">
      <c r="A5" s="19" t="s">
        <v>150</v>
      </c>
      <c r="B5" s="20">
        <f>COUNTIF('3. Expense Register'!C5:C354,A5)</f>
        <v>17</v>
      </c>
      <c r="C5" s="20">
        <f>SUMIF('3. Expense Register'!C5:C354,A5,'3. Expense Register'!E5:E354)</f>
        <v>2792.2</v>
      </c>
      <c r="D5" s="20">
        <f>SUMIF('3. Expense Register'!C5:C354,A5,'3. Expense Register'!F5:F354)</f>
        <v>24</v>
      </c>
      <c r="E5" s="20">
        <f>SUMIF('3. Expense Register'!C5:C354,A5,'3. Expense Register'!H5:H354)</f>
        <v>2816.2</v>
      </c>
      <c r="F5" s="19" t="s">
        <v>353</v>
      </c>
    </row>
    <row r="6" ht="15.0" customHeight="1">
      <c r="A6" s="19" t="s">
        <v>111</v>
      </c>
      <c r="B6" s="20">
        <f>COUNTIF('3. Expense Register'!C5:C354,A6)</f>
        <v>38</v>
      </c>
      <c r="C6" s="20">
        <f>SUMIF('3. Expense Register'!C5:C354,A6,'3. Expense Register'!E5:E354)</f>
        <v>144591.2</v>
      </c>
      <c r="D6" s="20">
        <f>SUMIF('3. Expense Register'!C5:C354,A6,'3. Expense Register'!F5:F354)</f>
        <v>268</v>
      </c>
      <c r="E6" s="20">
        <f>SUMIF('3. Expense Register'!C5:C354,A6,'3. Expense Register'!H5:H354)</f>
        <v>144859.2</v>
      </c>
      <c r="F6" s="19" t="s">
        <v>354</v>
      </c>
    </row>
    <row r="7" ht="15.0" customHeight="1">
      <c r="A7" s="19" t="s">
        <v>212</v>
      </c>
      <c r="B7" s="20">
        <f>COUNTIF('3. Expense Register'!C5:C354,A7)</f>
        <v>4</v>
      </c>
      <c r="C7" s="20">
        <f>SUMIF('3. Expense Register'!C5:C354,A7,'3. Expense Register'!E5:E354)</f>
        <v>6350</v>
      </c>
      <c r="D7" s="20">
        <f>SUMIF('3. Expense Register'!C5:C354,A7,'3. Expense Register'!F5:F354)</f>
        <v>30</v>
      </c>
      <c r="E7" s="20">
        <f>SUMIF('3. Expense Register'!C5:C354,A7,'3. Expense Register'!H5:H354)</f>
        <v>6380</v>
      </c>
      <c r="F7" s="19" t="s">
        <v>355</v>
      </c>
    </row>
    <row r="8" ht="15.0" customHeight="1">
      <c r="A8" s="19" t="s">
        <v>128</v>
      </c>
      <c r="B8" s="20">
        <f>COUNTIF('3. Expense Register'!C5:C354,A8)</f>
        <v>61</v>
      </c>
      <c r="C8" s="20">
        <f>SUMIF('3. Expense Register'!C5:C354,A8,'3. Expense Register'!E5:E354)</f>
        <v>17279</v>
      </c>
      <c r="D8" s="20">
        <f>SUMIF('3. Expense Register'!C5:C354,A8,'3. Expense Register'!F5:F354)</f>
        <v>255.5</v>
      </c>
      <c r="E8" s="20">
        <f>SUMIF('3. Expense Register'!C5:C354,A8,'3. Expense Register'!H5:H354)</f>
        <v>17534.5</v>
      </c>
      <c r="F8" s="19" t="s">
        <v>356</v>
      </c>
    </row>
    <row r="9" ht="15.0" customHeight="1">
      <c r="A9" s="19" t="s">
        <v>357</v>
      </c>
      <c r="B9" s="20">
        <f>COUNTIF('3. Expense Register'!C5:C354,A9)</f>
        <v>0</v>
      </c>
      <c r="C9" s="20">
        <f>SUMIF('3. Expense Register'!C5:C354,A9,'3. Expense Register'!E5:E354)</f>
        <v>0</v>
      </c>
      <c r="D9" s="20">
        <f>SUMIF('3. Expense Register'!C5:C354,A9,'3. Expense Register'!F5:F354)</f>
        <v>0</v>
      </c>
      <c r="E9" s="20">
        <f>SUMIF('3. Expense Register'!C5:C354,A9,'3. Expense Register'!H5:H354)</f>
        <v>0</v>
      </c>
      <c r="F9" s="19" t="s">
        <v>358</v>
      </c>
    </row>
    <row r="10" ht="15.0" customHeight="1">
      <c r="A10" s="19" t="s">
        <v>359</v>
      </c>
      <c r="B10" s="20">
        <f>COUNTIF('3. Expense Register'!C5:C354,A10)</f>
        <v>0</v>
      </c>
      <c r="C10" s="20">
        <f>SUMIF('3. Expense Register'!C5:C354,A10,'3. Expense Register'!E5:E354)</f>
        <v>0</v>
      </c>
      <c r="D10" s="20">
        <f>SUMIF('3. Expense Register'!C5:C354,A10,'3. Expense Register'!F5:F354)</f>
        <v>0</v>
      </c>
      <c r="E10" s="20">
        <f>SUMIF('3. Expense Register'!C5:C354,A10,'3. Expense Register'!H5:H354)</f>
        <v>0</v>
      </c>
      <c r="F10" s="19" t="s">
        <v>360</v>
      </c>
    </row>
    <row r="11" ht="15.0" customHeight="1">
      <c r="A11" s="19" t="s">
        <v>147</v>
      </c>
      <c r="B11" s="20">
        <f>COUNTIF('3. Expense Register'!C5:C354,A11)</f>
        <v>5</v>
      </c>
      <c r="C11" s="20">
        <f>SUMIF('3. Expense Register'!C5:C354,A11,'3. Expense Register'!E5:E354)</f>
        <v>2233.43</v>
      </c>
      <c r="D11" s="20">
        <f>SUMIF('3. Expense Register'!C5:C354,A11,'3. Expense Register'!F5:F354)</f>
        <v>0</v>
      </c>
      <c r="E11" s="20">
        <f>SUMIF('3. Expense Register'!C5:C354,A11,'3. Expense Register'!H5:H354)</f>
        <v>2233.43</v>
      </c>
      <c r="F11" s="19" t="s">
        <v>361</v>
      </c>
    </row>
    <row r="12" ht="15.0" customHeight="1">
      <c r="A12" s="19" t="s">
        <v>104</v>
      </c>
      <c r="B12" s="20">
        <f>COUNTIF('3. Expense Register'!C5:C354,A12)</f>
        <v>12</v>
      </c>
      <c r="C12" s="20">
        <f>SUMIF('3. Expense Register'!C5:C354,A12,'3. Expense Register'!E5:E354)</f>
        <v>30500</v>
      </c>
      <c r="D12" s="20">
        <f>SUMIF('3. Expense Register'!C5:C354,A12,'3. Expense Register'!F5:F354)</f>
        <v>90</v>
      </c>
      <c r="E12" s="20">
        <f>SUMIF('3. Expense Register'!C5:C354,A12,'3. Expense Register'!H5:H354)</f>
        <v>30590</v>
      </c>
      <c r="F12" s="19" t="s">
        <v>362</v>
      </c>
    </row>
    <row r="13" ht="15.0" customHeight="1">
      <c r="A13" s="19" t="s">
        <v>99</v>
      </c>
      <c r="B13" s="20">
        <f>COUNTIF('3. Expense Register'!C5:C354,A13)</f>
        <v>16</v>
      </c>
      <c r="C13" s="20">
        <f>SUMIF('3. Expense Register'!C5:C354,A13,'3. Expense Register'!E5:E354)</f>
        <v>21551.88</v>
      </c>
      <c r="D13" s="20">
        <f>SUMIF('3. Expense Register'!C5:C354,A13,'3. Expense Register'!F5:F354)</f>
        <v>96.62</v>
      </c>
      <c r="E13" s="20">
        <f>SUMIF('3. Expense Register'!C5:C354,A13,'3. Expense Register'!H5:H354)</f>
        <v>21648.5</v>
      </c>
      <c r="F13" s="19" t="s">
        <v>363</v>
      </c>
    </row>
    <row r="14" ht="15.0" customHeight="1">
      <c r="A14" s="19" t="s">
        <v>144</v>
      </c>
      <c r="B14" s="20">
        <f>COUNTIF('3. Expense Register'!C5:C354,A14)</f>
        <v>1</v>
      </c>
      <c r="C14" s="20">
        <f>SUMIF('3. Expense Register'!C5:C354,A14,'3. Expense Register'!E5:E354)</f>
        <v>2395</v>
      </c>
      <c r="D14" s="20">
        <f>SUMIF('3. Expense Register'!C5:C354,A14,'3. Expense Register'!F5:F354)</f>
        <v>0</v>
      </c>
      <c r="E14" s="20">
        <f>SUMIF('3. Expense Register'!C5:C354,A14,'3. Expense Register'!H5:H354)</f>
        <v>2395</v>
      </c>
      <c r="F14" s="19" t="s">
        <v>364</v>
      </c>
    </row>
    <row r="15" ht="15.0" customHeight="1">
      <c r="A15" s="31" t="s">
        <v>274</v>
      </c>
      <c r="B15" s="32">
        <f>COUNTIF('3. Expense Register'!C5:C354,A15)</f>
        <v>1</v>
      </c>
      <c r="C15" s="32">
        <f>SUMIF('3. Expense Register'!C5:C354,A15,'3. Expense Register'!E5:E354)</f>
        <v>19999</v>
      </c>
      <c r="D15" s="32">
        <f>SUMIF('3. Expense Register'!C5:C354,A15,'3. Expense Register'!F5:F354)</f>
        <v>0</v>
      </c>
      <c r="E15" s="32">
        <f>SUMIF('3. Expense Register'!C5:C354,A15,'3. Expense Register'!H5:H354)</f>
        <v>0</v>
      </c>
      <c r="F15" s="31" t="s">
        <v>365</v>
      </c>
    </row>
    <row r="16" ht="15.0" customHeight="1">
      <c r="A16" s="31" t="s">
        <v>248</v>
      </c>
      <c r="B16" s="32">
        <f>COUNTIF('3. Expense Register'!C5:C354,A16)</f>
        <v>4</v>
      </c>
      <c r="C16" s="32">
        <f>SUMIF('3. Expense Register'!C5:C354,A16,'3. Expense Register'!E5:E354)</f>
        <v>32945</v>
      </c>
      <c r="D16" s="32">
        <f>SUMIF('3. Expense Register'!C5:C354,A16,'3. Expense Register'!F5:F354)</f>
        <v>16</v>
      </c>
      <c r="E16" s="32">
        <f>SUMIF('3. Expense Register'!C5:C354,A16,'3. Expense Register'!H5:H354)</f>
        <v>0</v>
      </c>
      <c r="F16" s="31" t="s">
        <v>366</v>
      </c>
    </row>
    <row r="17" ht="15.0" customHeight="1">
      <c r="A17" s="19" t="s">
        <v>166</v>
      </c>
      <c r="B17" s="20">
        <f>COUNTIF('3. Expense Register'!C5:C354,A17)</f>
        <v>6</v>
      </c>
      <c r="C17" s="20">
        <f>SUMIF('3. Expense Register'!C5:C354,A17,'3. Expense Register'!E5:E354)</f>
        <v>1730.41</v>
      </c>
      <c r="D17" s="20">
        <f>SUMIF('3. Expense Register'!C5:C354,A17,'3. Expense Register'!F5:F354)</f>
        <v>8</v>
      </c>
      <c r="E17" s="20">
        <f>SUMIF('3. Expense Register'!C5:C354,A17,'3. Expense Register'!H5:H354)</f>
        <v>1738.41</v>
      </c>
      <c r="F17" s="19" t="s">
        <v>367</v>
      </c>
    </row>
    <row r="18" ht="15.0" customHeight="1">
      <c r="A18" s="19" t="s">
        <v>232</v>
      </c>
      <c r="B18" s="20">
        <f>COUNTIF('3. Expense Register'!C5:C354,A18)</f>
        <v>1</v>
      </c>
      <c r="C18" s="20">
        <f>SUMIF('3. Expense Register'!C5:C354,A18,'3. Expense Register'!E5:E354)</f>
        <v>1399</v>
      </c>
      <c r="D18" s="20">
        <f>SUMIF('3. Expense Register'!C5:C354,A18,'3. Expense Register'!F5:F354)</f>
        <v>8</v>
      </c>
      <c r="E18" s="20">
        <f>SUMIF('3. Expense Register'!C5:C354,A18,'3. Expense Register'!H5:H354)</f>
        <v>1407</v>
      </c>
      <c r="F18" s="19" t="s">
        <v>368</v>
      </c>
    </row>
    <row r="19" ht="15.0" customHeight="1">
      <c r="A19" s="19" t="s">
        <v>125</v>
      </c>
      <c r="B19" s="20">
        <f>COUNTIF('3. Expense Register'!C5:C354,A19)</f>
        <v>1</v>
      </c>
      <c r="C19" s="20">
        <f>SUMIF('3. Expense Register'!C5:C354,A19,'3. Expense Register'!E5:E354)</f>
        <v>100</v>
      </c>
      <c r="D19" s="20">
        <f>SUMIF('3. Expense Register'!C5:C354,A19,'3. Expense Register'!F5:F354)</f>
        <v>0</v>
      </c>
      <c r="E19" s="20">
        <f>SUMIF('3. Expense Register'!C5:C354,A19,'3. Expense Register'!H5:H354)</f>
        <v>100</v>
      </c>
      <c r="F19" s="19" t="s">
        <v>369</v>
      </c>
    </row>
    <row r="20" ht="15.0" customHeight="1">
      <c r="A20" s="19" t="s">
        <v>131</v>
      </c>
      <c r="B20" s="20">
        <f>COUNTIF('3. Expense Register'!C5:C354,A20)</f>
        <v>4</v>
      </c>
      <c r="C20" s="20">
        <f>SUMIF('3. Expense Register'!C5:C354,A20,'3. Expense Register'!E5:E354)</f>
        <v>12000</v>
      </c>
      <c r="D20" s="20">
        <f>SUMIF('3. Expense Register'!C5:C354,A20,'3. Expense Register'!F5:F354)</f>
        <v>33</v>
      </c>
      <c r="E20" s="20">
        <f>SUMIF('3. Expense Register'!C5:C354,A20,'3. Expense Register'!H5:H354)</f>
        <v>12033</v>
      </c>
      <c r="F20" s="19" t="s">
        <v>370</v>
      </c>
    </row>
    <row r="21" ht="15.0" customHeight="1">
      <c r="A21" s="19" t="s">
        <v>90</v>
      </c>
      <c r="B21" s="20">
        <f>COUNTIF('3. Expense Register'!C5:C354,A21)</f>
        <v>124</v>
      </c>
      <c r="C21" s="20">
        <f>SUMIF('3. Expense Register'!C5:C354,A21,'3. Expense Register'!E5:E354)</f>
        <v>3484.93</v>
      </c>
      <c r="D21" s="20">
        <f>SUMIF('3. Expense Register'!C5:C354,A21,'3. Expense Register'!F5:F354)</f>
        <v>130.5</v>
      </c>
      <c r="E21" s="20">
        <f>SUMIF('3. Expense Register'!C5:C354,A21,'3. Expense Register'!H5:H354)</f>
        <v>3615.43</v>
      </c>
      <c r="F21" s="19" t="s">
        <v>371</v>
      </c>
    </row>
    <row r="22" ht="15.0" customHeight="1">
      <c r="A22" s="19" t="s">
        <v>134</v>
      </c>
      <c r="B22" s="20">
        <f>COUNTIF('3. Expense Register'!C5:C354,A22)</f>
        <v>1</v>
      </c>
      <c r="C22" s="20">
        <f>SUMIF('3. Expense Register'!C5:C354,A22,'3. Expense Register'!E5:E354)</f>
        <v>25000</v>
      </c>
      <c r="D22" s="20">
        <f>SUMIF('3. Expense Register'!C5:C354,A22,'3. Expense Register'!F5:F354)</f>
        <v>40</v>
      </c>
      <c r="E22" s="20">
        <f>SUMIF('3. Expense Register'!C5:C354,A22,'3. Expense Register'!H5:H354)</f>
        <v>25040</v>
      </c>
      <c r="F22" s="19" t="s">
        <v>372</v>
      </c>
    </row>
    <row r="23" ht="15.0" customHeight="1">
      <c r="A23" s="19" t="s">
        <v>229</v>
      </c>
      <c r="B23" s="20">
        <f>COUNTIF('3. Expense Register'!C5:C354,A23)</f>
        <v>11</v>
      </c>
      <c r="C23" s="20">
        <f>SUMIF('3. Expense Register'!C5:C354,A23,'3. Expense Register'!E5:E354)</f>
        <v>86000</v>
      </c>
      <c r="D23" s="20">
        <f>SUMIF('3. Expense Register'!C5:C354,A23,'3. Expense Register'!F5:F354)</f>
        <v>61.5</v>
      </c>
      <c r="E23" s="20">
        <f>SUMIF('3. Expense Register'!C5:C354,A23,'3. Expense Register'!H5:H354)</f>
        <v>86061.5</v>
      </c>
      <c r="F23" s="19" t="s">
        <v>373</v>
      </c>
    </row>
    <row r="24" ht="15.0" customHeight="1">
      <c r="A24" s="19" t="s">
        <v>321</v>
      </c>
      <c r="B24" s="20">
        <f>COUNTIF('3. Expense Register'!C5:C354,A24)</f>
        <v>1</v>
      </c>
      <c r="C24" s="20">
        <f>SUMIF('3. Expense Register'!C5:C354,A24,'3. Expense Register'!E5:E354)</f>
        <v>7095</v>
      </c>
      <c r="D24" s="20">
        <f>SUMIF('3. Expense Register'!C5:C354,A24,'3. Expense Register'!F5:F354)</f>
        <v>0</v>
      </c>
      <c r="E24" s="20">
        <f>SUMIF('3. Expense Register'!C5:C354,A24,'3. Expense Register'!H5:H354)</f>
        <v>7095</v>
      </c>
      <c r="F24" s="19" t="s">
        <v>374</v>
      </c>
    </row>
    <row r="25" ht="15.0" customHeight="1">
      <c r="A25" s="19" t="s">
        <v>257</v>
      </c>
      <c r="B25" s="20">
        <f>COUNTIF('3. Expense Register'!C5:C354,A25)</f>
        <v>1</v>
      </c>
      <c r="C25" s="20">
        <f>SUMIF('3. Expense Register'!C5:C354,A25,'3. Expense Register'!E5:E354)</f>
        <v>1500</v>
      </c>
      <c r="D25" s="20">
        <f>SUMIF('3. Expense Register'!C5:C354,A25,'3. Expense Register'!F5:F354)</f>
        <v>7.5</v>
      </c>
      <c r="E25" s="20">
        <f>SUMIF('3. Expense Register'!C5:C354,A25,'3. Expense Register'!H5:H354)</f>
        <v>1507.5</v>
      </c>
      <c r="F25" s="19" t="s">
        <v>375</v>
      </c>
    </row>
    <row r="26" ht="15.0" customHeight="1">
      <c r="A26" s="19" t="s">
        <v>240</v>
      </c>
      <c r="B26" s="20">
        <f>COUNTIF('3. Expense Register'!C5:C354,A26)</f>
        <v>1</v>
      </c>
      <c r="C26" s="20">
        <f>SUMIF('3. Expense Register'!C5:C354,A26,'3. Expense Register'!E5:E354)</f>
        <v>1800</v>
      </c>
      <c r="D26" s="20">
        <f>SUMIF('3. Expense Register'!C5:C354,A26,'3. Expense Register'!F5:F354)</f>
        <v>7.5</v>
      </c>
      <c r="E26" s="20">
        <f>SUMIF('3. Expense Register'!C5:C354,A26,'3. Expense Register'!H5:H354)</f>
        <v>1807.5</v>
      </c>
      <c r="F26" s="19" t="s">
        <v>376</v>
      </c>
    </row>
    <row r="27" ht="15.0" customHeight="1">
      <c r="A27" s="27" t="s">
        <v>328</v>
      </c>
      <c r="B27" s="28">
        <f>COUNTIF('3. Expense Register'!C5:C354,A27)</f>
        <v>1</v>
      </c>
      <c r="C27" s="28">
        <f>SUMIF('3. Expense Register'!C5:C354,A27,'3. Expense Register'!E5:E354)</f>
        <v>1543</v>
      </c>
      <c r="D27" s="28">
        <f>SUMIF('3. Expense Register'!C5:C354,A27,'3. Expense Register'!F5:F354)</f>
        <v>8</v>
      </c>
      <c r="E27" s="28">
        <f>SUMIF('3. Expense Register'!C5:C354,A27,'3. Expense Register'!H5:H354)</f>
        <v>0</v>
      </c>
      <c r="F27" s="27" t="s">
        <v>377</v>
      </c>
    </row>
    <row r="28" ht="15.0" customHeight="1">
      <c r="A28" s="27" t="s">
        <v>94</v>
      </c>
      <c r="B28" s="28">
        <f>COUNTIF('3. Expense Register'!C5:C354,A28)</f>
        <v>5</v>
      </c>
      <c r="C28" s="28">
        <f>SUMIF('3. Expense Register'!C5:C354,A28,'3. Expense Register'!E5:E354)</f>
        <v>65500</v>
      </c>
      <c r="D28" s="28">
        <f>SUMIF('3. Expense Register'!C5:C354,A28,'3. Expense Register'!F5:F354)</f>
        <v>15</v>
      </c>
      <c r="E28" s="28">
        <f>SUMIF('3. Expense Register'!C5:C354,A28,'3. Expense Register'!H5:H354)</f>
        <v>0</v>
      </c>
      <c r="F28" s="27" t="s">
        <v>378</v>
      </c>
    </row>
    <row r="29" ht="15.0" customHeight="1">
      <c r="A29" s="27" t="s">
        <v>203</v>
      </c>
      <c r="B29" s="28">
        <f>COUNTIF('3. Expense Register'!C5:C354,A29)</f>
        <v>2</v>
      </c>
      <c r="C29" s="28">
        <f>SUMIF('3. Expense Register'!C5:C354,A29,'3. Expense Register'!E5:E354)</f>
        <v>4050</v>
      </c>
      <c r="D29" s="28">
        <f>SUMIF('3. Expense Register'!C5:C354,A29,'3. Expense Register'!F5:F354)</f>
        <v>0</v>
      </c>
      <c r="E29" s="28">
        <f>SUMIF('3. Expense Register'!C5:C354,A29,'3. Expense Register'!H5:H354)</f>
        <v>0</v>
      </c>
      <c r="F29" s="27" t="s">
        <v>379</v>
      </c>
    </row>
    <row r="30" ht="15.0" customHeight="1">
      <c r="A30" s="27" t="s">
        <v>108</v>
      </c>
      <c r="B30" s="28">
        <f>COUNTIF('3. Expense Register'!C5:C354,A30)</f>
        <v>27</v>
      </c>
      <c r="C30" s="28">
        <f>SUMIF('3. Expense Register'!C5:C354,A30,'3. Expense Register'!E5:E354)</f>
        <v>15506.12</v>
      </c>
      <c r="D30" s="28">
        <f>SUMIF('3. Expense Register'!C5:C354,A30,'3. Expense Register'!F5:F354)</f>
        <v>149</v>
      </c>
      <c r="E30" s="28">
        <f>SUMIF('3. Expense Register'!C5:C354,A30,'3. Expense Register'!H5:H354)</f>
        <v>7827.56</v>
      </c>
      <c r="F30" s="27" t="s">
        <v>380</v>
      </c>
    </row>
    <row r="31" ht="15.0" customHeight="1">
      <c r="A31" s="27" t="s">
        <v>117</v>
      </c>
      <c r="B31" s="28">
        <f>COUNTIF('3. Expense Register'!C5:C354,A31)</f>
        <v>5</v>
      </c>
      <c r="C31" s="28">
        <f>SUMIF('3. Expense Register'!C5:C354,A31,'3. Expense Register'!E5:E354)</f>
        <v>291000</v>
      </c>
      <c r="D31" s="28">
        <f>SUMIF('3. Expense Register'!C5:C354,A31,'3. Expense Register'!F5:F354)</f>
        <v>0</v>
      </c>
      <c r="E31" s="28">
        <f>SUMIF('3. Expense Register'!C5:C354,A31,'3. Expense Register'!H5:H354)</f>
        <v>0</v>
      </c>
      <c r="F31" s="27" t="s">
        <v>381</v>
      </c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0" customHeight="1">
      <c r="A50" s="33" t="s">
        <v>382</v>
      </c>
      <c r="B50" s="33">
        <f t="shared" ref="B50:E50" si="1">SUM(B5:B49)</f>
        <v>350</v>
      </c>
      <c r="C50" s="33">
        <f t="shared" si="1"/>
        <v>798345.17</v>
      </c>
      <c r="D50" s="33">
        <f t="shared" si="1"/>
        <v>1248.12</v>
      </c>
      <c r="E50" s="33">
        <f t="shared" si="1"/>
        <v>376689.73</v>
      </c>
      <c r="F50" s="34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33.29"/>
    <col customWidth="1" min="3" max="3" width="24.0"/>
    <col customWidth="1" min="4" max="4" width="40.0"/>
    <col customWidth="1" min="5" max="6" width="12.0"/>
    <col customWidth="1" min="7" max="7" width="14.0"/>
    <col customWidth="1" min="8" max="8" width="18.0"/>
    <col customWidth="1" min="9" max="26" width="8.71"/>
  </cols>
  <sheetData>
    <row r="1" ht="19.5" customHeight="1">
      <c r="A1" s="1" t="s">
        <v>383</v>
      </c>
    </row>
    <row r="2" ht="15.0" customHeight="1">
      <c r="A2" s="35" t="s">
        <v>384</v>
      </c>
    </row>
    <row r="3">
      <c r="A3" s="3"/>
      <c r="B3" s="3"/>
      <c r="C3" s="3"/>
      <c r="D3" s="3"/>
      <c r="E3" s="3"/>
      <c r="F3" s="3"/>
      <c r="G3" s="3"/>
      <c r="H3" s="3"/>
    </row>
    <row r="4" ht="15.0" customHeight="1">
      <c r="A4" s="12" t="s">
        <v>385</v>
      </c>
      <c r="B4" s="36" t="s">
        <v>386</v>
      </c>
      <c r="C4" s="3"/>
      <c r="D4" s="3"/>
      <c r="E4" s="3"/>
      <c r="F4" s="3"/>
      <c r="G4" s="3"/>
      <c r="H4" s="3"/>
    </row>
    <row r="5" ht="15.0" customHeight="1">
      <c r="A5" s="12" t="s">
        <v>387</v>
      </c>
      <c r="B5" s="36" t="s">
        <v>388</v>
      </c>
      <c r="C5" s="3"/>
      <c r="D5" s="3"/>
      <c r="E5" s="3"/>
      <c r="F5" s="3"/>
      <c r="G5" s="3"/>
      <c r="H5" s="3"/>
    </row>
    <row r="6" ht="15.0" customHeight="1">
      <c r="A6" s="12" t="s">
        <v>389</v>
      </c>
      <c r="B6" s="36" t="s">
        <v>390</v>
      </c>
      <c r="C6" s="3"/>
      <c r="D6" s="3"/>
      <c r="E6" s="3"/>
      <c r="F6" s="3"/>
      <c r="G6" s="3"/>
      <c r="H6" s="3"/>
    </row>
    <row r="7" ht="15.0" customHeight="1">
      <c r="A7" s="12" t="s">
        <v>391</v>
      </c>
      <c r="B7" s="36" t="s">
        <v>392</v>
      </c>
      <c r="C7" s="3"/>
      <c r="D7" s="3"/>
      <c r="E7" s="3"/>
      <c r="F7" s="3"/>
      <c r="G7" s="3"/>
      <c r="H7" s="3"/>
    </row>
    <row r="8" ht="15.0" customHeight="1">
      <c r="A8" s="12" t="s">
        <v>393</v>
      </c>
      <c r="B8" s="36" t="s">
        <v>392</v>
      </c>
      <c r="C8" s="3"/>
      <c r="D8" s="3"/>
      <c r="E8" s="3"/>
      <c r="F8" s="3"/>
      <c r="G8" s="3"/>
      <c r="H8" s="3"/>
    </row>
    <row r="9" ht="15.0" customHeight="1">
      <c r="A9" s="12" t="s">
        <v>394</v>
      </c>
      <c r="B9" s="37" t="str">
        <f>IF(AND(ISNUMBER(B7),ISNUMBER(B8)),B8-B7,"Fill odometer readings")</f>
        <v>Fill odometer readings</v>
      </c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 ht="26.25" customHeight="1">
      <c r="A11" s="17" t="s">
        <v>53</v>
      </c>
      <c r="B11" s="17" t="s">
        <v>395</v>
      </c>
      <c r="C11" s="17" t="s">
        <v>396</v>
      </c>
      <c r="D11" s="17" t="s">
        <v>397</v>
      </c>
      <c r="E11" s="17" t="s">
        <v>398</v>
      </c>
      <c r="F11" s="17" t="s">
        <v>399</v>
      </c>
      <c r="G11" s="17" t="s">
        <v>400</v>
      </c>
      <c r="H11" s="17" t="s">
        <v>401</v>
      </c>
    </row>
    <row r="12" ht="15.0" customHeight="1">
      <c r="A12" s="38"/>
      <c r="B12" s="38"/>
      <c r="C12" s="38"/>
      <c r="D12" s="38"/>
      <c r="E12" s="39"/>
      <c r="F12" s="39"/>
      <c r="G12" s="40" t="str">
        <f t="shared" ref="G12:G111" si="1">IF(AND(ISNUMBER(E12),ISNUMBER(F12)),F12-E12,"")</f>
        <v/>
      </c>
      <c r="H12" s="38"/>
    </row>
    <row r="13" ht="15.0" customHeight="1">
      <c r="A13" s="38"/>
      <c r="B13" s="38"/>
      <c r="C13" s="38"/>
      <c r="D13" s="38"/>
      <c r="E13" s="39"/>
      <c r="F13" s="39"/>
      <c r="G13" s="40" t="str">
        <f t="shared" si="1"/>
        <v/>
      </c>
      <c r="H13" s="38"/>
    </row>
    <row r="14" ht="15.0" customHeight="1">
      <c r="A14" s="38"/>
      <c r="B14" s="38"/>
      <c r="C14" s="38"/>
      <c r="D14" s="38"/>
      <c r="E14" s="39"/>
      <c r="F14" s="39"/>
      <c r="G14" s="40" t="str">
        <f t="shared" si="1"/>
        <v/>
      </c>
      <c r="H14" s="38"/>
    </row>
    <row r="15" ht="15.0" customHeight="1">
      <c r="A15" s="38"/>
      <c r="B15" s="38"/>
      <c r="C15" s="38"/>
      <c r="D15" s="38"/>
      <c r="E15" s="39"/>
      <c r="F15" s="39"/>
      <c r="G15" s="40" t="str">
        <f t="shared" si="1"/>
        <v/>
      </c>
      <c r="H15" s="38"/>
    </row>
    <row r="16" ht="15.0" customHeight="1">
      <c r="A16" s="38"/>
      <c r="B16" s="38"/>
      <c r="C16" s="38"/>
      <c r="D16" s="38"/>
      <c r="E16" s="39"/>
      <c r="F16" s="39"/>
      <c r="G16" s="40" t="str">
        <f t="shared" si="1"/>
        <v/>
      </c>
      <c r="H16" s="38"/>
    </row>
    <row r="17" ht="15.0" customHeight="1">
      <c r="A17" s="19"/>
      <c r="B17" s="19"/>
      <c r="C17" s="19"/>
      <c r="D17" s="19"/>
      <c r="E17" s="20"/>
      <c r="F17" s="20"/>
      <c r="G17" s="40" t="str">
        <f t="shared" si="1"/>
        <v/>
      </c>
      <c r="H17" s="19"/>
    </row>
    <row r="18" ht="15.0" customHeight="1">
      <c r="A18" s="19"/>
      <c r="B18" s="19"/>
      <c r="C18" s="19"/>
      <c r="D18" s="19"/>
      <c r="E18" s="20"/>
      <c r="F18" s="20"/>
      <c r="G18" s="40" t="str">
        <f t="shared" si="1"/>
        <v/>
      </c>
      <c r="H18" s="19"/>
    </row>
    <row r="19" ht="15.0" customHeight="1">
      <c r="A19" s="19"/>
      <c r="B19" s="19"/>
      <c r="C19" s="19"/>
      <c r="D19" s="19"/>
      <c r="E19" s="20"/>
      <c r="F19" s="20"/>
      <c r="G19" s="40" t="str">
        <f t="shared" si="1"/>
        <v/>
      </c>
      <c r="H19" s="19"/>
    </row>
    <row r="20" ht="15.0" customHeight="1">
      <c r="A20" s="19"/>
      <c r="B20" s="19"/>
      <c r="C20" s="19"/>
      <c r="D20" s="19"/>
      <c r="E20" s="20"/>
      <c r="F20" s="20"/>
      <c r="G20" s="40" t="str">
        <f t="shared" si="1"/>
        <v/>
      </c>
      <c r="H20" s="19"/>
    </row>
    <row r="21" ht="15.0" customHeight="1">
      <c r="A21" s="19"/>
      <c r="B21" s="19"/>
      <c r="C21" s="19"/>
      <c r="D21" s="19"/>
      <c r="E21" s="20"/>
      <c r="F21" s="20"/>
      <c r="G21" s="40" t="str">
        <f t="shared" si="1"/>
        <v/>
      </c>
      <c r="H21" s="19"/>
    </row>
    <row r="22" ht="15.0" customHeight="1">
      <c r="A22" s="19"/>
      <c r="B22" s="19"/>
      <c r="C22" s="19"/>
      <c r="D22" s="19"/>
      <c r="E22" s="20"/>
      <c r="F22" s="20"/>
      <c r="G22" s="40" t="str">
        <f t="shared" si="1"/>
        <v/>
      </c>
      <c r="H22" s="19"/>
    </row>
    <row r="23" ht="15.0" customHeight="1">
      <c r="A23" s="19"/>
      <c r="B23" s="19"/>
      <c r="C23" s="19"/>
      <c r="D23" s="19"/>
      <c r="E23" s="20"/>
      <c r="F23" s="20"/>
      <c r="G23" s="40" t="str">
        <f t="shared" si="1"/>
        <v/>
      </c>
      <c r="H23" s="19"/>
    </row>
    <row r="24" ht="15.0" customHeight="1">
      <c r="A24" s="19"/>
      <c r="B24" s="19"/>
      <c r="C24" s="19"/>
      <c r="D24" s="19"/>
      <c r="E24" s="20"/>
      <c r="F24" s="20"/>
      <c r="G24" s="40" t="str">
        <f t="shared" si="1"/>
        <v/>
      </c>
      <c r="H24" s="19"/>
    </row>
    <row r="25" ht="15.0" customHeight="1">
      <c r="A25" s="19"/>
      <c r="B25" s="19"/>
      <c r="C25" s="19"/>
      <c r="D25" s="19"/>
      <c r="E25" s="20"/>
      <c r="F25" s="20"/>
      <c r="G25" s="40" t="str">
        <f t="shared" si="1"/>
        <v/>
      </c>
      <c r="H25" s="19"/>
    </row>
    <row r="26" ht="15.0" customHeight="1">
      <c r="A26" s="19"/>
      <c r="B26" s="19"/>
      <c r="C26" s="19"/>
      <c r="D26" s="19"/>
      <c r="E26" s="20"/>
      <c r="F26" s="20"/>
      <c r="G26" s="40" t="str">
        <f t="shared" si="1"/>
        <v/>
      </c>
      <c r="H26" s="19"/>
    </row>
    <row r="27" ht="15.0" customHeight="1">
      <c r="A27" s="19"/>
      <c r="B27" s="19"/>
      <c r="C27" s="19"/>
      <c r="D27" s="19"/>
      <c r="E27" s="20"/>
      <c r="F27" s="20"/>
      <c r="G27" s="40" t="str">
        <f t="shared" si="1"/>
        <v/>
      </c>
      <c r="H27" s="19"/>
    </row>
    <row r="28" ht="15.0" customHeight="1">
      <c r="A28" s="19"/>
      <c r="B28" s="19"/>
      <c r="C28" s="19"/>
      <c r="D28" s="19"/>
      <c r="E28" s="20"/>
      <c r="F28" s="20"/>
      <c r="G28" s="40" t="str">
        <f t="shared" si="1"/>
        <v/>
      </c>
      <c r="H28" s="19"/>
    </row>
    <row r="29" ht="15.0" customHeight="1">
      <c r="A29" s="19"/>
      <c r="B29" s="19"/>
      <c r="C29" s="19"/>
      <c r="D29" s="19"/>
      <c r="E29" s="20"/>
      <c r="F29" s="20"/>
      <c r="G29" s="40" t="str">
        <f t="shared" si="1"/>
        <v/>
      </c>
      <c r="H29" s="19"/>
    </row>
    <row r="30" ht="15.0" customHeight="1">
      <c r="A30" s="19"/>
      <c r="B30" s="19"/>
      <c r="C30" s="19"/>
      <c r="D30" s="19"/>
      <c r="E30" s="20"/>
      <c r="F30" s="20"/>
      <c r="G30" s="40" t="str">
        <f t="shared" si="1"/>
        <v/>
      </c>
      <c r="H30" s="19"/>
    </row>
    <row r="31" ht="15.0" customHeight="1">
      <c r="A31" s="19"/>
      <c r="B31" s="19"/>
      <c r="C31" s="19"/>
      <c r="D31" s="19"/>
      <c r="E31" s="20"/>
      <c r="F31" s="20"/>
      <c r="G31" s="40" t="str">
        <f t="shared" si="1"/>
        <v/>
      </c>
      <c r="H31" s="19"/>
    </row>
    <row r="32" ht="15.0" customHeight="1">
      <c r="A32" s="19"/>
      <c r="B32" s="19"/>
      <c r="C32" s="19"/>
      <c r="D32" s="19"/>
      <c r="E32" s="20"/>
      <c r="F32" s="20"/>
      <c r="G32" s="40" t="str">
        <f t="shared" si="1"/>
        <v/>
      </c>
      <c r="H32" s="19"/>
    </row>
    <row r="33" ht="15.0" customHeight="1">
      <c r="A33" s="19"/>
      <c r="B33" s="19"/>
      <c r="C33" s="19"/>
      <c r="D33" s="19"/>
      <c r="E33" s="20"/>
      <c r="F33" s="20"/>
      <c r="G33" s="40" t="str">
        <f t="shared" si="1"/>
        <v/>
      </c>
      <c r="H33" s="19"/>
    </row>
    <row r="34" ht="15.0" customHeight="1">
      <c r="A34" s="19"/>
      <c r="B34" s="19"/>
      <c r="C34" s="19"/>
      <c r="D34" s="19"/>
      <c r="E34" s="20"/>
      <c r="F34" s="20"/>
      <c r="G34" s="40" t="str">
        <f t="shared" si="1"/>
        <v/>
      </c>
      <c r="H34" s="19"/>
    </row>
    <row r="35" ht="15.0" customHeight="1">
      <c r="A35" s="19"/>
      <c r="B35" s="19"/>
      <c r="C35" s="19"/>
      <c r="D35" s="19"/>
      <c r="E35" s="20"/>
      <c r="F35" s="20"/>
      <c r="G35" s="40" t="str">
        <f t="shared" si="1"/>
        <v/>
      </c>
      <c r="H35" s="19"/>
    </row>
    <row r="36" ht="15.0" customHeight="1">
      <c r="A36" s="19"/>
      <c r="B36" s="19"/>
      <c r="C36" s="19"/>
      <c r="D36" s="19"/>
      <c r="E36" s="20"/>
      <c r="F36" s="20"/>
      <c r="G36" s="40" t="str">
        <f t="shared" si="1"/>
        <v/>
      </c>
      <c r="H36" s="19"/>
    </row>
    <row r="37" ht="15.0" customHeight="1">
      <c r="A37" s="19"/>
      <c r="B37" s="19"/>
      <c r="C37" s="19"/>
      <c r="D37" s="19"/>
      <c r="E37" s="20"/>
      <c r="F37" s="20"/>
      <c r="G37" s="40" t="str">
        <f t="shared" si="1"/>
        <v/>
      </c>
      <c r="H37" s="19"/>
    </row>
    <row r="38" ht="15.0" customHeight="1">
      <c r="A38" s="19"/>
      <c r="B38" s="19"/>
      <c r="C38" s="19"/>
      <c r="D38" s="19"/>
      <c r="E38" s="20"/>
      <c r="F38" s="20"/>
      <c r="G38" s="40" t="str">
        <f t="shared" si="1"/>
        <v/>
      </c>
      <c r="H38" s="19"/>
    </row>
    <row r="39" ht="15.0" customHeight="1">
      <c r="A39" s="19"/>
      <c r="B39" s="19"/>
      <c r="C39" s="19"/>
      <c r="D39" s="19"/>
      <c r="E39" s="20"/>
      <c r="F39" s="20"/>
      <c r="G39" s="40" t="str">
        <f t="shared" si="1"/>
        <v/>
      </c>
      <c r="H39" s="19"/>
    </row>
    <row r="40" ht="15.0" customHeight="1">
      <c r="A40" s="19"/>
      <c r="B40" s="19"/>
      <c r="C40" s="19"/>
      <c r="D40" s="19"/>
      <c r="E40" s="20"/>
      <c r="F40" s="20"/>
      <c r="G40" s="40" t="str">
        <f t="shared" si="1"/>
        <v/>
      </c>
      <c r="H40" s="19"/>
    </row>
    <row r="41" ht="15.0" customHeight="1">
      <c r="A41" s="19"/>
      <c r="B41" s="19"/>
      <c r="C41" s="19"/>
      <c r="D41" s="19"/>
      <c r="E41" s="20"/>
      <c r="F41" s="20"/>
      <c r="G41" s="40" t="str">
        <f t="shared" si="1"/>
        <v/>
      </c>
      <c r="H41" s="19"/>
    </row>
    <row r="42" ht="15.0" customHeight="1">
      <c r="A42" s="19"/>
      <c r="B42" s="19"/>
      <c r="C42" s="19"/>
      <c r="D42" s="19"/>
      <c r="E42" s="20"/>
      <c r="F42" s="20"/>
      <c r="G42" s="40" t="str">
        <f t="shared" si="1"/>
        <v/>
      </c>
      <c r="H42" s="19"/>
    </row>
    <row r="43" ht="15.0" customHeight="1">
      <c r="A43" s="19"/>
      <c r="B43" s="19"/>
      <c r="C43" s="19"/>
      <c r="D43" s="19"/>
      <c r="E43" s="20"/>
      <c r="F43" s="20"/>
      <c r="G43" s="40" t="str">
        <f t="shared" si="1"/>
        <v/>
      </c>
      <c r="H43" s="19"/>
    </row>
    <row r="44" ht="15.0" customHeight="1">
      <c r="A44" s="19"/>
      <c r="B44" s="19"/>
      <c r="C44" s="19"/>
      <c r="D44" s="19"/>
      <c r="E44" s="20"/>
      <c r="F44" s="20"/>
      <c r="G44" s="40" t="str">
        <f t="shared" si="1"/>
        <v/>
      </c>
      <c r="H44" s="19"/>
    </row>
    <row r="45" ht="15.0" customHeight="1">
      <c r="A45" s="19"/>
      <c r="B45" s="19"/>
      <c r="C45" s="19"/>
      <c r="D45" s="19"/>
      <c r="E45" s="20"/>
      <c r="F45" s="20"/>
      <c r="G45" s="40" t="str">
        <f t="shared" si="1"/>
        <v/>
      </c>
      <c r="H45" s="19"/>
    </row>
    <row r="46" ht="15.0" customHeight="1">
      <c r="A46" s="19"/>
      <c r="B46" s="19"/>
      <c r="C46" s="19"/>
      <c r="D46" s="19"/>
      <c r="E46" s="20"/>
      <c r="F46" s="20"/>
      <c r="G46" s="40" t="str">
        <f t="shared" si="1"/>
        <v/>
      </c>
      <c r="H46" s="19"/>
    </row>
    <row r="47" ht="15.0" customHeight="1">
      <c r="A47" s="19"/>
      <c r="B47" s="19"/>
      <c r="C47" s="19"/>
      <c r="D47" s="19"/>
      <c r="E47" s="20"/>
      <c r="F47" s="20"/>
      <c r="G47" s="40" t="str">
        <f t="shared" si="1"/>
        <v/>
      </c>
      <c r="H47" s="19"/>
    </row>
    <row r="48" ht="15.0" customHeight="1">
      <c r="A48" s="19"/>
      <c r="B48" s="19"/>
      <c r="C48" s="19"/>
      <c r="D48" s="19"/>
      <c r="E48" s="20"/>
      <c r="F48" s="20"/>
      <c r="G48" s="40" t="str">
        <f t="shared" si="1"/>
        <v/>
      </c>
      <c r="H48" s="19"/>
    </row>
    <row r="49" ht="15.0" customHeight="1">
      <c r="A49" s="19"/>
      <c r="B49" s="19"/>
      <c r="C49" s="19"/>
      <c r="D49" s="19"/>
      <c r="E49" s="20"/>
      <c r="F49" s="20"/>
      <c r="G49" s="40" t="str">
        <f t="shared" si="1"/>
        <v/>
      </c>
      <c r="H49" s="19"/>
    </row>
    <row r="50" ht="15.0" customHeight="1">
      <c r="A50" s="19"/>
      <c r="B50" s="19"/>
      <c r="C50" s="19"/>
      <c r="D50" s="19"/>
      <c r="E50" s="20"/>
      <c r="F50" s="20"/>
      <c r="G50" s="40" t="str">
        <f t="shared" si="1"/>
        <v/>
      </c>
      <c r="H50" s="19"/>
    </row>
    <row r="51" ht="15.0" customHeight="1">
      <c r="A51" s="19"/>
      <c r="B51" s="19"/>
      <c r="C51" s="19"/>
      <c r="D51" s="19"/>
      <c r="E51" s="20"/>
      <c r="F51" s="20"/>
      <c r="G51" s="40" t="str">
        <f t="shared" si="1"/>
        <v/>
      </c>
      <c r="H51" s="19"/>
    </row>
    <row r="52" ht="15.0" customHeight="1">
      <c r="A52" s="19"/>
      <c r="B52" s="19"/>
      <c r="C52" s="19"/>
      <c r="D52" s="19"/>
      <c r="E52" s="20"/>
      <c r="F52" s="20"/>
      <c r="G52" s="40" t="str">
        <f t="shared" si="1"/>
        <v/>
      </c>
      <c r="H52" s="19"/>
    </row>
    <row r="53" ht="15.0" customHeight="1">
      <c r="A53" s="19"/>
      <c r="B53" s="19"/>
      <c r="C53" s="19"/>
      <c r="D53" s="19"/>
      <c r="E53" s="20"/>
      <c r="F53" s="20"/>
      <c r="G53" s="40" t="str">
        <f t="shared" si="1"/>
        <v/>
      </c>
      <c r="H53" s="19"/>
    </row>
    <row r="54" ht="15.0" customHeight="1">
      <c r="A54" s="19"/>
      <c r="B54" s="19"/>
      <c r="C54" s="19"/>
      <c r="D54" s="19"/>
      <c r="E54" s="20"/>
      <c r="F54" s="20"/>
      <c r="G54" s="40" t="str">
        <f t="shared" si="1"/>
        <v/>
      </c>
      <c r="H54" s="19"/>
    </row>
    <row r="55" ht="15.0" customHeight="1">
      <c r="A55" s="19"/>
      <c r="B55" s="19"/>
      <c r="C55" s="19"/>
      <c r="D55" s="19"/>
      <c r="E55" s="20"/>
      <c r="F55" s="20"/>
      <c r="G55" s="40" t="str">
        <f t="shared" si="1"/>
        <v/>
      </c>
      <c r="H55" s="19"/>
    </row>
    <row r="56" ht="15.0" customHeight="1">
      <c r="A56" s="19"/>
      <c r="B56" s="19"/>
      <c r="C56" s="19"/>
      <c r="D56" s="19"/>
      <c r="E56" s="20"/>
      <c r="F56" s="20"/>
      <c r="G56" s="40" t="str">
        <f t="shared" si="1"/>
        <v/>
      </c>
      <c r="H56" s="19"/>
    </row>
    <row r="57" ht="15.0" customHeight="1">
      <c r="A57" s="19"/>
      <c r="B57" s="19"/>
      <c r="C57" s="19"/>
      <c r="D57" s="19"/>
      <c r="E57" s="20"/>
      <c r="F57" s="20"/>
      <c r="G57" s="40" t="str">
        <f t="shared" si="1"/>
        <v/>
      </c>
      <c r="H57" s="19"/>
    </row>
    <row r="58" ht="15.0" customHeight="1">
      <c r="A58" s="19"/>
      <c r="B58" s="19"/>
      <c r="C58" s="19"/>
      <c r="D58" s="19"/>
      <c r="E58" s="20"/>
      <c r="F58" s="20"/>
      <c r="G58" s="40" t="str">
        <f t="shared" si="1"/>
        <v/>
      </c>
      <c r="H58" s="19"/>
    </row>
    <row r="59" ht="15.0" customHeight="1">
      <c r="A59" s="19"/>
      <c r="B59" s="19"/>
      <c r="C59" s="19"/>
      <c r="D59" s="19"/>
      <c r="E59" s="20"/>
      <c r="F59" s="20"/>
      <c r="G59" s="40" t="str">
        <f t="shared" si="1"/>
        <v/>
      </c>
      <c r="H59" s="19"/>
    </row>
    <row r="60" ht="15.0" customHeight="1">
      <c r="A60" s="19"/>
      <c r="B60" s="19"/>
      <c r="C60" s="19"/>
      <c r="D60" s="19"/>
      <c r="E60" s="20"/>
      <c r="F60" s="20"/>
      <c r="G60" s="40" t="str">
        <f t="shared" si="1"/>
        <v/>
      </c>
      <c r="H60" s="19"/>
    </row>
    <row r="61" ht="15.0" customHeight="1">
      <c r="A61" s="19"/>
      <c r="B61" s="19"/>
      <c r="C61" s="19"/>
      <c r="D61" s="19"/>
      <c r="E61" s="20"/>
      <c r="F61" s="20"/>
      <c r="G61" s="40" t="str">
        <f t="shared" si="1"/>
        <v/>
      </c>
      <c r="H61" s="19"/>
    </row>
    <row r="62" ht="15.0" customHeight="1">
      <c r="A62" s="19"/>
      <c r="B62" s="19"/>
      <c r="C62" s="19"/>
      <c r="D62" s="19"/>
      <c r="E62" s="20"/>
      <c r="F62" s="20"/>
      <c r="G62" s="40" t="str">
        <f t="shared" si="1"/>
        <v/>
      </c>
      <c r="H62" s="19"/>
    </row>
    <row r="63" ht="15.0" customHeight="1">
      <c r="A63" s="19"/>
      <c r="B63" s="19"/>
      <c r="C63" s="19"/>
      <c r="D63" s="19"/>
      <c r="E63" s="20"/>
      <c r="F63" s="20"/>
      <c r="G63" s="40" t="str">
        <f t="shared" si="1"/>
        <v/>
      </c>
      <c r="H63" s="19"/>
    </row>
    <row r="64" ht="15.0" customHeight="1">
      <c r="A64" s="19"/>
      <c r="B64" s="19"/>
      <c r="C64" s="19"/>
      <c r="D64" s="19"/>
      <c r="E64" s="20"/>
      <c r="F64" s="20"/>
      <c r="G64" s="40" t="str">
        <f t="shared" si="1"/>
        <v/>
      </c>
      <c r="H64" s="19"/>
    </row>
    <row r="65" ht="15.0" customHeight="1">
      <c r="A65" s="19"/>
      <c r="B65" s="19"/>
      <c r="C65" s="19"/>
      <c r="D65" s="19"/>
      <c r="E65" s="20"/>
      <c r="F65" s="20"/>
      <c r="G65" s="40" t="str">
        <f t="shared" si="1"/>
        <v/>
      </c>
      <c r="H65" s="19"/>
    </row>
    <row r="66" ht="15.0" customHeight="1">
      <c r="A66" s="19"/>
      <c r="B66" s="19"/>
      <c r="C66" s="19"/>
      <c r="D66" s="19"/>
      <c r="E66" s="20"/>
      <c r="F66" s="20"/>
      <c r="G66" s="40" t="str">
        <f t="shared" si="1"/>
        <v/>
      </c>
      <c r="H66" s="19"/>
    </row>
    <row r="67" ht="15.0" customHeight="1">
      <c r="A67" s="19"/>
      <c r="B67" s="19"/>
      <c r="C67" s="19"/>
      <c r="D67" s="19"/>
      <c r="E67" s="20"/>
      <c r="F67" s="20"/>
      <c r="G67" s="40" t="str">
        <f t="shared" si="1"/>
        <v/>
      </c>
      <c r="H67" s="19"/>
    </row>
    <row r="68" ht="15.0" customHeight="1">
      <c r="A68" s="19"/>
      <c r="B68" s="19"/>
      <c r="C68" s="19"/>
      <c r="D68" s="19"/>
      <c r="E68" s="20"/>
      <c r="F68" s="20"/>
      <c r="G68" s="40" t="str">
        <f t="shared" si="1"/>
        <v/>
      </c>
      <c r="H68" s="19"/>
    </row>
    <row r="69" ht="15.0" customHeight="1">
      <c r="A69" s="19"/>
      <c r="B69" s="19"/>
      <c r="C69" s="19"/>
      <c r="D69" s="19"/>
      <c r="E69" s="20"/>
      <c r="F69" s="20"/>
      <c r="G69" s="40" t="str">
        <f t="shared" si="1"/>
        <v/>
      </c>
      <c r="H69" s="19"/>
    </row>
    <row r="70" ht="15.0" customHeight="1">
      <c r="A70" s="19"/>
      <c r="B70" s="19"/>
      <c r="C70" s="19"/>
      <c r="D70" s="19"/>
      <c r="E70" s="20"/>
      <c r="F70" s="20"/>
      <c r="G70" s="40" t="str">
        <f t="shared" si="1"/>
        <v/>
      </c>
      <c r="H70" s="19"/>
    </row>
    <row r="71" ht="15.0" customHeight="1">
      <c r="A71" s="19"/>
      <c r="B71" s="19"/>
      <c r="C71" s="19"/>
      <c r="D71" s="19"/>
      <c r="E71" s="20"/>
      <c r="F71" s="20"/>
      <c r="G71" s="40" t="str">
        <f t="shared" si="1"/>
        <v/>
      </c>
      <c r="H71" s="19"/>
    </row>
    <row r="72" ht="15.0" customHeight="1">
      <c r="A72" s="19"/>
      <c r="B72" s="19"/>
      <c r="C72" s="19"/>
      <c r="D72" s="19"/>
      <c r="E72" s="20"/>
      <c r="F72" s="20"/>
      <c r="G72" s="40" t="str">
        <f t="shared" si="1"/>
        <v/>
      </c>
      <c r="H72" s="19"/>
    </row>
    <row r="73" ht="15.0" customHeight="1">
      <c r="A73" s="19"/>
      <c r="B73" s="19"/>
      <c r="C73" s="19"/>
      <c r="D73" s="19"/>
      <c r="E73" s="20"/>
      <c r="F73" s="20"/>
      <c r="G73" s="40" t="str">
        <f t="shared" si="1"/>
        <v/>
      </c>
      <c r="H73" s="19"/>
    </row>
    <row r="74" ht="15.0" customHeight="1">
      <c r="A74" s="19"/>
      <c r="B74" s="19"/>
      <c r="C74" s="19"/>
      <c r="D74" s="19"/>
      <c r="E74" s="20"/>
      <c r="F74" s="20"/>
      <c r="G74" s="40" t="str">
        <f t="shared" si="1"/>
        <v/>
      </c>
      <c r="H74" s="19"/>
    </row>
    <row r="75" ht="15.0" customHeight="1">
      <c r="A75" s="19"/>
      <c r="B75" s="19"/>
      <c r="C75" s="19"/>
      <c r="D75" s="19"/>
      <c r="E75" s="20"/>
      <c r="F75" s="20"/>
      <c r="G75" s="40" t="str">
        <f t="shared" si="1"/>
        <v/>
      </c>
      <c r="H75" s="19"/>
    </row>
    <row r="76" ht="15.0" customHeight="1">
      <c r="A76" s="19"/>
      <c r="B76" s="19"/>
      <c r="C76" s="19"/>
      <c r="D76" s="19"/>
      <c r="E76" s="20"/>
      <c r="F76" s="20"/>
      <c r="G76" s="40" t="str">
        <f t="shared" si="1"/>
        <v/>
      </c>
      <c r="H76" s="19"/>
    </row>
    <row r="77" ht="15.0" customHeight="1">
      <c r="A77" s="19"/>
      <c r="B77" s="19"/>
      <c r="C77" s="19"/>
      <c r="D77" s="19"/>
      <c r="E77" s="20"/>
      <c r="F77" s="20"/>
      <c r="G77" s="40" t="str">
        <f t="shared" si="1"/>
        <v/>
      </c>
      <c r="H77" s="19"/>
    </row>
    <row r="78" ht="15.0" customHeight="1">
      <c r="A78" s="19"/>
      <c r="B78" s="19"/>
      <c r="C78" s="19"/>
      <c r="D78" s="19"/>
      <c r="E78" s="20"/>
      <c r="F78" s="20"/>
      <c r="G78" s="40" t="str">
        <f t="shared" si="1"/>
        <v/>
      </c>
      <c r="H78" s="19"/>
    </row>
    <row r="79" ht="15.0" customHeight="1">
      <c r="A79" s="19"/>
      <c r="B79" s="19"/>
      <c r="C79" s="19"/>
      <c r="D79" s="19"/>
      <c r="E79" s="20"/>
      <c r="F79" s="20"/>
      <c r="G79" s="40" t="str">
        <f t="shared" si="1"/>
        <v/>
      </c>
      <c r="H79" s="19"/>
    </row>
    <row r="80" ht="15.0" customHeight="1">
      <c r="A80" s="19"/>
      <c r="B80" s="19"/>
      <c r="C80" s="19"/>
      <c r="D80" s="19"/>
      <c r="E80" s="20"/>
      <c r="F80" s="20"/>
      <c r="G80" s="40" t="str">
        <f t="shared" si="1"/>
        <v/>
      </c>
      <c r="H80" s="19"/>
    </row>
    <row r="81" ht="15.0" customHeight="1">
      <c r="A81" s="19"/>
      <c r="B81" s="19"/>
      <c r="C81" s="19"/>
      <c r="D81" s="19"/>
      <c r="E81" s="20"/>
      <c r="F81" s="20"/>
      <c r="G81" s="40" t="str">
        <f t="shared" si="1"/>
        <v/>
      </c>
      <c r="H81" s="19"/>
    </row>
    <row r="82" ht="15.0" customHeight="1">
      <c r="A82" s="19"/>
      <c r="B82" s="19"/>
      <c r="C82" s="19"/>
      <c r="D82" s="19"/>
      <c r="E82" s="20"/>
      <c r="F82" s="20"/>
      <c r="G82" s="40" t="str">
        <f t="shared" si="1"/>
        <v/>
      </c>
      <c r="H82" s="19"/>
    </row>
    <row r="83" ht="15.0" customHeight="1">
      <c r="A83" s="19"/>
      <c r="B83" s="19"/>
      <c r="C83" s="19"/>
      <c r="D83" s="19"/>
      <c r="E83" s="20"/>
      <c r="F83" s="20"/>
      <c r="G83" s="40" t="str">
        <f t="shared" si="1"/>
        <v/>
      </c>
      <c r="H83" s="19"/>
    </row>
    <row r="84" ht="15.0" customHeight="1">
      <c r="A84" s="19"/>
      <c r="B84" s="19"/>
      <c r="C84" s="19"/>
      <c r="D84" s="19"/>
      <c r="E84" s="20"/>
      <c r="F84" s="20"/>
      <c r="G84" s="40" t="str">
        <f t="shared" si="1"/>
        <v/>
      </c>
      <c r="H84" s="19"/>
    </row>
    <row r="85" ht="15.0" customHeight="1">
      <c r="A85" s="19"/>
      <c r="B85" s="19"/>
      <c r="C85" s="19"/>
      <c r="D85" s="19"/>
      <c r="E85" s="20"/>
      <c r="F85" s="20"/>
      <c r="G85" s="40" t="str">
        <f t="shared" si="1"/>
        <v/>
      </c>
      <c r="H85" s="19"/>
    </row>
    <row r="86" ht="15.0" customHeight="1">
      <c r="A86" s="19"/>
      <c r="B86" s="19"/>
      <c r="C86" s="19"/>
      <c r="D86" s="19"/>
      <c r="E86" s="20"/>
      <c r="F86" s="20"/>
      <c r="G86" s="40" t="str">
        <f t="shared" si="1"/>
        <v/>
      </c>
      <c r="H86" s="19"/>
    </row>
    <row r="87" ht="15.0" customHeight="1">
      <c r="A87" s="19"/>
      <c r="B87" s="19"/>
      <c r="C87" s="19"/>
      <c r="D87" s="19"/>
      <c r="E87" s="20"/>
      <c r="F87" s="20"/>
      <c r="G87" s="40" t="str">
        <f t="shared" si="1"/>
        <v/>
      </c>
      <c r="H87" s="19"/>
    </row>
    <row r="88" ht="15.0" customHeight="1">
      <c r="A88" s="19"/>
      <c r="B88" s="19"/>
      <c r="C88" s="19"/>
      <c r="D88" s="19"/>
      <c r="E88" s="20"/>
      <c r="F88" s="20"/>
      <c r="G88" s="40" t="str">
        <f t="shared" si="1"/>
        <v/>
      </c>
      <c r="H88" s="19"/>
    </row>
    <row r="89" ht="15.0" customHeight="1">
      <c r="A89" s="19"/>
      <c r="B89" s="19"/>
      <c r="C89" s="19"/>
      <c r="D89" s="19"/>
      <c r="E89" s="20"/>
      <c r="F89" s="20"/>
      <c r="G89" s="40" t="str">
        <f t="shared" si="1"/>
        <v/>
      </c>
      <c r="H89" s="19"/>
    </row>
    <row r="90" ht="15.0" customHeight="1">
      <c r="A90" s="19"/>
      <c r="B90" s="19"/>
      <c r="C90" s="19"/>
      <c r="D90" s="19"/>
      <c r="E90" s="20"/>
      <c r="F90" s="20"/>
      <c r="G90" s="40" t="str">
        <f t="shared" si="1"/>
        <v/>
      </c>
      <c r="H90" s="19"/>
    </row>
    <row r="91" ht="15.0" customHeight="1">
      <c r="A91" s="19"/>
      <c r="B91" s="19"/>
      <c r="C91" s="19"/>
      <c r="D91" s="19"/>
      <c r="E91" s="20"/>
      <c r="F91" s="20"/>
      <c r="G91" s="40" t="str">
        <f t="shared" si="1"/>
        <v/>
      </c>
      <c r="H91" s="19"/>
    </row>
    <row r="92" ht="15.0" customHeight="1">
      <c r="A92" s="19"/>
      <c r="B92" s="19"/>
      <c r="C92" s="19"/>
      <c r="D92" s="19"/>
      <c r="E92" s="20"/>
      <c r="F92" s="20"/>
      <c r="G92" s="40" t="str">
        <f t="shared" si="1"/>
        <v/>
      </c>
      <c r="H92" s="19"/>
    </row>
    <row r="93" ht="15.0" customHeight="1">
      <c r="A93" s="19"/>
      <c r="B93" s="19"/>
      <c r="C93" s="19"/>
      <c r="D93" s="19"/>
      <c r="E93" s="20"/>
      <c r="F93" s="20"/>
      <c r="G93" s="40" t="str">
        <f t="shared" si="1"/>
        <v/>
      </c>
      <c r="H93" s="19"/>
    </row>
    <row r="94" ht="15.0" customHeight="1">
      <c r="A94" s="19"/>
      <c r="B94" s="19"/>
      <c r="C94" s="19"/>
      <c r="D94" s="19"/>
      <c r="E94" s="20"/>
      <c r="F94" s="20"/>
      <c r="G94" s="40" t="str">
        <f t="shared" si="1"/>
        <v/>
      </c>
      <c r="H94" s="19"/>
    </row>
    <row r="95" ht="15.0" customHeight="1">
      <c r="A95" s="19"/>
      <c r="B95" s="19"/>
      <c r="C95" s="19"/>
      <c r="D95" s="19"/>
      <c r="E95" s="20"/>
      <c r="F95" s="20"/>
      <c r="G95" s="40" t="str">
        <f t="shared" si="1"/>
        <v/>
      </c>
      <c r="H95" s="19"/>
    </row>
    <row r="96" ht="15.0" customHeight="1">
      <c r="A96" s="19"/>
      <c r="B96" s="19"/>
      <c r="C96" s="19"/>
      <c r="D96" s="19"/>
      <c r="E96" s="20"/>
      <c r="F96" s="20"/>
      <c r="G96" s="40" t="str">
        <f t="shared" si="1"/>
        <v/>
      </c>
      <c r="H96" s="19"/>
    </row>
    <row r="97" ht="15.0" customHeight="1">
      <c r="A97" s="19"/>
      <c r="B97" s="19"/>
      <c r="C97" s="19"/>
      <c r="D97" s="19"/>
      <c r="E97" s="20"/>
      <c r="F97" s="20"/>
      <c r="G97" s="40" t="str">
        <f t="shared" si="1"/>
        <v/>
      </c>
      <c r="H97" s="19"/>
    </row>
    <row r="98" ht="15.0" customHeight="1">
      <c r="A98" s="19"/>
      <c r="B98" s="19"/>
      <c r="C98" s="19"/>
      <c r="D98" s="19"/>
      <c r="E98" s="20"/>
      <c r="F98" s="20"/>
      <c r="G98" s="40" t="str">
        <f t="shared" si="1"/>
        <v/>
      </c>
      <c r="H98" s="19"/>
    </row>
    <row r="99" ht="15.0" customHeight="1">
      <c r="A99" s="19"/>
      <c r="B99" s="19"/>
      <c r="C99" s="19"/>
      <c r="D99" s="19"/>
      <c r="E99" s="20"/>
      <c r="F99" s="20"/>
      <c r="G99" s="40" t="str">
        <f t="shared" si="1"/>
        <v/>
      </c>
      <c r="H99" s="19"/>
    </row>
    <row r="100" ht="15.0" customHeight="1">
      <c r="A100" s="19"/>
      <c r="B100" s="19"/>
      <c r="C100" s="19"/>
      <c r="D100" s="19"/>
      <c r="E100" s="20"/>
      <c r="F100" s="20"/>
      <c r="G100" s="40" t="str">
        <f t="shared" si="1"/>
        <v/>
      </c>
      <c r="H100" s="19"/>
    </row>
    <row r="101" ht="15.0" customHeight="1">
      <c r="A101" s="19"/>
      <c r="B101" s="19"/>
      <c r="C101" s="19"/>
      <c r="D101" s="19"/>
      <c r="E101" s="20"/>
      <c r="F101" s="20"/>
      <c r="G101" s="40" t="str">
        <f t="shared" si="1"/>
        <v/>
      </c>
      <c r="H101" s="19"/>
    </row>
    <row r="102" ht="15.0" customHeight="1">
      <c r="A102" s="19"/>
      <c r="B102" s="19"/>
      <c r="C102" s="19"/>
      <c r="D102" s="19"/>
      <c r="E102" s="20"/>
      <c r="F102" s="20"/>
      <c r="G102" s="40" t="str">
        <f t="shared" si="1"/>
        <v/>
      </c>
      <c r="H102" s="19"/>
    </row>
    <row r="103" ht="15.0" customHeight="1">
      <c r="A103" s="19"/>
      <c r="B103" s="19"/>
      <c r="C103" s="19"/>
      <c r="D103" s="19"/>
      <c r="E103" s="20"/>
      <c r="F103" s="20"/>
      <c r="G103" s="40" t="str">
        <f t="shared" si="1"/>
        <v/>
      </c>
      <c r="H103" s="19"/>
    </row>
    <row r="104" ht="15.0" customHeight="1">
      <c r="A104" s="19"/>
      <c r="B104" s="19"/>
      <c r="C104" s="19"/>
      <c r="D104" s="19"/>
      <c r="E104" s="20"/>
      <c r="F104" s="20"/>
      <c r="G104" s="40" t="str">
        <f t="shared" si="1"/>
        <v/>
      </c>
      <c r="H104" s="19"/>
    </row>
    <row r="105" ht="15.0" customHeight="1">
      <c r="A105" s="19"/>
      <c r="B105" s="19"/>
      <c r="C105" s="19"/>
      <c r="D105" s="19"/>
      <c r="E105" s="20"/>
      <c r="F105" s="20"/>
      <c r="G105" s="40" t="str">
        <f t="shared" si="1"/>
        <v/>
      </c>
      <c r="H105" s="19"/>
    </row>
    <row r="106" ht="15.0" customHeight="1">
      <c r="A106" s="19"/>
      <c r="B106" s="19"/>
      <c r="C106" s="19"/>
      <c r="D106" s="19"/>
      <c r="E106" s="20"/>
      <c r="F106" s="20"/>
      <c r="G106" s="40" t="str">
        <f t="shared" si="1"/>
        <v/>
      </c>
      <c r="H106" s="19"/>
    </row>
    <row r="107" ht="15.0" customHeight="1">
      <c r="A107" s="19"/>
      <c r="B107" s="19"/>
      <c r="C107" s="19"/>
      <c r="D107" s="19"/>
      <c r="E107" s="20"/>
      <c r="F107" s="20"/>
      <c r="G107" s="40" t="str">
        <f t="shared" si="1"/>
        <v/>
      </c>
      <c r="H107" s="19"/>
    </row>
    <row r="108" ht="15.0" customHeight="1">
      <c r="A108" s="19"/>
      <c r="B108" s="19"/>
      <c r="C108" s="19"/>
      <c r="D108" s="19"/>
      <c r="E108" s="20"/>
      <c r="F108" s="20"/>
      <c r="G108" s="40" t="str">
        <f t="shared" si="1"/>
        <v/>
      </c>
      <c r="H108" s="19"/>
    </row>
    <row r="109" ht="15.0" customHeight="1">
      <c r="A109" s="19"/>
      <c r="B109" s="19"/>
      <c r="C109" s="19"/>
      <c r="D109" s="19"/>
      <c r="E109" s="20"/>
      <c r="F109" s="20"/>
      <c r="G109" s="40" t="str">
        <f t="shared" si="1"/>
        <v/>
      </c>
      <c r="H109" s="19"/>
    </row>
    <row r="110" ht="15.0" customHeight="1">
      <c r="A110" s="19"/>
      <c r="B110" s="19"/>
      <c r="C110" s="19"/>
      <c r="D110" s="19"/>
      <c r="E110" s="20"/>
      <c r="F110" s="20"/>
      <c r="G110" s="40" t="str">
        <f t="shared" si="1"/>
        <v/>
      </c>
      <c r="H110" s="19"/>
    </row>
    <row r="111" ht="15.0" customHeight="1">
      <c r="A111" s="19"/>
      <c r="B111" s="19"/>
      <c r="C111" s="19"/>
      <c r="D111" s="19"/>
      <c r="E111" s="20"/>
      <c r="F111" s="20"/>
      <c r="G111" s="40" t="str">
        <f t="shared" si="1"/>
        <v/>
      </c>
      <c r="H111" s="19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0" customHeight="1">
      <c r="A114" s="41" t="s">
        <v>402</v>
      </c>
      <c r="B114" s="3"/>
      <c r="C114" s="3"/>
      <c r="D114" s="3"/>
      <c r="E114" s="3"/>
      <c r="F114" s="3"/>
      <c r="G114" s="3"/>
      <c r="H114" s="3"/>
    </row>
    <row r="115" ht="15.0" customHeight="1">
      <c r="A115" s="3" t="s">
        <v>403</v>
      </c>
      <c r="B115" s="42">
        <f>SUMIF(H12:H111,"Business",G12:G111)</f>
        <v>0</v>
      </c>
      <c r="C115" s="3"/>
      <c r="D115" s="3"/>
      <c r="E115" s="3"/>
      <c r="F115" s="3"/>
      <c r="G115" s="3"/>
      <c r="H115" s="3"/>
    </row>
    <row r="116" ht="15.0" customHeight="1">
      <c r="A116" s="3" t="s">
        <v>404</v>
      </c>
      <c r="B116" s="42">
        <f>SUMIF(H12:H111,"Private",G12:G111)</f>
        <v>0</v>
      </c>
      <c r="C116" s="3"/>
      <c r="D116" s="3"/>
      <c r="E116" s="3"/>
      <c r="F116" s="3"/>
      <c r="G116" s="3"/>
      <c r="H116" s="3"/>
    </row>
    <row r="117" ht="15.0" customHeight="1">
      <c r="A117" s="3" t="s">
        <v>405</v>
      </c>
      <c r="B117" s="42">
        <f>B115+B116</f>
        <v>0</v>
      </c>
      <c r="C117" s="3"/>
      <c r="D117" s="3"/>
      <c r="E117" s="3"/>
      <c r="F117" s="3"/>
      <c r="G117" s="3"/>
      <c r="H117" s="3"/>
    </row>
    <row r="118" ht="15.0" customHeight="1">
      <c r="A118" s="3" t="s">
        <v>406</v>
      </c>
      <c r="B118" s="43">
        <f>IF(B117&gt;0,B115/B117,0)</f>
        <v>0</v>
      </c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0" customHeight="1">
      <c r="A120" s="2" t="s">
        <v>407</v>
      </c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3">
    <mergeCell ref="A1:H1"/>
    <mergeCell ref="A2:H2"/>
    <mergeCell ref="A120:H1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4" width="14.0"/>
    <col customWidth="1" min="5" max="5" width="12.0"/>
    <col customWidth="1" min="6" max="6" width="18.0"/>
    <col customWidth="1" min="7" max="7" width="14.0"/>
    <col customWidth="1" min="8" max="8" width="18.0"/>
    <col customWidth="1" min="9" max="26" width="8.71"/>
  </cols>
  <sheetData>
    <row r="1" ht="19.5" customHeight="1">
      <c r="A1" s="1" t="s">
        <v>408</v>
      </c>
    </row>
    <row r="2" ht="15.0" customHeight="1">
      <c r="A2" s="2" t="s">
        <v>409</v>
      </c>
    </row>
    <row r="3">
      <c r="A3" s="3"/>
      <c r="B3" s="3"/>
      <c r="C3" s="3"/>
      <c r="D3" s="3"/>
      <c r="E3" s="3"/>
      <c r="F3" s="3"/>
      <c r="G3" s="3"/>
      <c r="H3" s="3"/>
    </row>
    <row r="4" ht="26.25" customHeight="1">
      <c r="A4" s="17" t="s">
        <v>410</v>
      </c>
      <c r="B4" s="17" t="s">
        <v>411</v>
      </c>
      <c r="C4" s="17" t="s">
        <v>412</v>
      </c>
      <c r="D4" s="17" t="s">
        <v>413</v>
      </c>
      <c r="E4" s="17" t="s">
        <v>414</v>
      </c>
      <c r="F4" s="17" t="s">
        <v>415</v>
      </c>
      <c r="G4" s="17" t="s">
        <v>416</v>
      </c>
      <c r="H4" s="17" t="s">
        <v>417</v>
      </c>
    </row>
    <row r="5" ht="15.0" customHeight="1">
      <c r="A5" s="44">
        <v>1.0</v>
      </c>
      <c r="B5" s="45" t="s">
        <v>418</v>
      </c>
      <c r="C5" s="38" t="s">
        <v>419</v>
      </c>
      <c r="D5" s="46">
        <v>11999.0</v>
      </c>
      <c r="E5" s="47">
        <v>3.0</v>
      </c>
      <c r="F5" s="48">
        <f t="shared" ref="F5:F15" si="1">IF(E5&gt;0,D5/E5,0)</f>
        <v>3999.666667</v>
      </c>
      <c r="G5" s="49">
        <v>1.0</v>
      </c>
      <c r="H5" s="48">
        <f t="shared" ref="H5:H15" si="2">F5*G5</f>
        <v>3999.666667</v>
      </c>
    </row>
    <row r="6" ht="15.0" customHeight="1">
      <c r="A6" s="44">
        <v>2.0</v>
      </c>
      <c r="B6" s="45" t="s">
        <v>420</v>
      </c>
      <c r="C6" s="38" t="s">
        <v>419</v>
      </c>
      <c r="D6" s="46">
        <v>17999.0</v>
      </c>
      <c r="E6" s="47">
        <v>3.0</v>
      </c>
      <c r="F6" s="48">
        <f t="shared" si="1"/>
        <v>5999.666667</v>
      </c>
      <c r="G6" s="49">
        <v>1.0</v>
      </c>
      <c r="H6" s="48">
        <f t="shared" si="2"/>
        <v>5999.666667</v>
      </c>
    </row>
    <row r="7" ht="15.0" customHeight="1">
      <c r="A7" s="44">
        <v>3.0</v>
      </c>
      <c r="B7" s="38" t="s">
        <v>421</v>
      </c>
      <c r="C7" s="38" t="s">
        <v>419</v>
      </c>
      <c r="D7" s="39">
        <v>25000.0</v>
      </c>
      <c r="E7" s="47">
        <v>3.0</v>
      </c>
      <c r="F7" s="48">
        <f t="shared" si="1"/>
        <v>8333.333333</v>
      </c>
      <c r="G7" s="49">
        <v>1.0</v>
      </c>
      <c r="H7" s="48">
        <f t="shared" si="2"/>
        <v>8333.333333</v>
      </c>
    </row>
    <row r="8" ht="15.0" customHeight="1">
      <c r="A8" s="44">
        <v>4.0</v>
      </c>
      <c r="B8" s="38" t="s">
        <v>422</v>
      </c>
      <c r="C8" s="38" t="s">
        <v>419</v>
      </c>
      <c r="D8" s="46">
        <v>18000.0</v>
      </c>
      <c r="E8" s="47">
        <v>3.0</v>
      </c>
      <c r="F8" s="48">
        <f t="shared" si="1"/>
        <v>6000</v>
      </c>
      <c r="G8" s="49">
        <v>1.0</v>
      </c>
      <c r="H8" s="48">
        <f t="shared" si="2"/>
        <v>6000</v>
      </c>
    </row>
    <row r="9" ht="15.0" customHeight="1">
      <c r="A9" s="44">
        <v>5.0</v>
      </c>
      <c r="B9" s="38" t="s">
        <v>423</v>
      </c>
      <c r="C9" s="50">
        <v>45975.0</v>
      </c>
      <c r="D9" s="46">
        <v>29999.0</v>
      </c>
      <c r="E9" s="47">
        <v>6.0</v>
      </c>
      <c r="F9" s="48">
        <f t="shared" si="1"/>
        <v>4999.833333</v>
      </c>
      <c r="G9" s="49">
        <v>1.0</v>
      </c>
      <c r="H9" s="48">
        <f t="shared" si="2"/>
        <v>4999.833333</v>
      </c>
    </row>
    <row r="10" ht="15.0" customHeight="1">
      <c r="A10" s="44">
        <v>6.0</v>
      </c>
      <c r="B10" s="38" t="s">
        <v>424</v>
      </c>
      <c r="C10" s="38" t="s">
        <v>419</v>
      </c>
      <c r="D10" s="46">
        <v>185000.0</v>
      </c>
      <c r="E10" s="47">
        <v>5.0</v>
      </c>
      <c r="F10" s="48">
        <f t="shared" si="1"/>
        <v>37000</v>
      </c>
      <c r="G10" s="51">
        <v>0.9</v>
      </c>
      <c r="H10" s="48">
        <f t="shared" si="2"/>
        <v>33300</v>
      </c>
    </row>
    <row r="11" ht="23.25" customHeight="1">
      <c r="A11" s="44">
        <v>7.0</v>
      </c>
      <c r="B11" s="38" t="s">
        <v>425</v>
      </c>
      <c r="C11" s="38" t="s">
        <v>426</v>
      </c>
      <c r="D11" s="39">
        <v>22765.0</v>
      </c>
      <c r="E11" s="47">
        <v>6.0</v>
      </c>
      <c r="F11" s="48">
        <f t="shared" si="1"/>
        <v>3794.166667</v>
      </c>
      <c r="G11" s="49">
        <v>1.0</v>
      </c>
      <c r="H11" s="48">
        <f t="shared" si="2"/>
        <v>3794.166667</v>
      </c>
    </row>
    <row r="12" ht="15.0" customHeight="1">
      <c r="A12" s="44">
        <v>8.0</v>
      </c>
      <c r="B12" s="38" t="s">
        <v>427</v>
      </c>
      <c r="C12" s="38" t="s">
        <v>428</v>
      </c>
      <c r="D12" s="39">
        <v>6190.0</v>
      </c>
      <c r="E12" s="47">
        <v>6.0</v>
      </c>
      <c r="F12" s="48">
        <f t="shared" si="1"/>
        <v>1031.666667</v>
      </c>
      <c r="G12" s="49">
        <v>1.0</v>
      </c>
      <c r="H12" s="48">
        <f t="shared" si="2"/>
        <v>1031.666667</v>
      </c>
    </row>
    <row r="13" ht="15.0" customHeight="1">
      <c r="A13" s="44">
        <v>9.0</v>
      </c>
      <c r="B13" s="38" t="s">
        <v>429</v>
      </c>
      <c r="C13" s="38" t="s">
        <v>430</v>
      </c>
      <c r="D13" s="39">
        <v>2995.0</v>
      </c>
      <c r="E13" s="47">
        <v>6.0</v>
      </c>
      <c r="F13" s="48">
        <f t="shared" si="1"/>
        <v>499.1666667</v>
      </c>
      <c r="G13" s="49">
        <v>1.0</v>
      </c>
      <c r="H13" s="48">
        <f t="shared" si="2"/>
        <v>499.1666667</v>
      </c>
    </row>
    <row r="14" ht="15.0" customHeight="1">
      <c r="A14" s="44">
        <v>10.0</v>
      </c>
      <c r="B14" s="45" t="s">
        <v>431</v>
      </c>
      <c r="C14" s="38" t="s">
        <v>432</v>
      </c>
      <c r="D14" s="39">
        <v>19999.0</v>
      </c>
      <c r="E14" s="47">
        <v>3.0</v>
      </c>
      <c r="F14" s="48">
        <f t="shared" si="1"/>
        <v>6666.333333</v>
      </c>
      <c r="G14" s="49">
        <v>1.0</v>
      </c>
      <c r="H14" s="48">
        <f t="shared" si="2"/>
        <v>6666.333333</v>
      </c>
    </row>
    <row r="15" ht="15.0" customHeight="1">
      <c r="A15" s="44">
        <v>11.0</v>
      </c>
      <c r="B15" s="38" t="s">
        <v>433</v>
      </c>
      <c r="C15" s="38" t="s">
        <v>434</v>
      </c>
      <c r="D15" s="39">
        <v>2395.0</v>
      </c>
      <c r="E15" s="47">
        <v>5.0</v>
      </c>
      <c r="F15" s="48">
        <f t="shared" si="1"/>
        <v>479</v>
      </c>
      <c r="G15" s="49">
        <v>1.0</v>
      </c>
      <c r="H15" s="48">
        <f t="shared" si="2"/>
        <v>479</v>
      </c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0" customHeight="1">
      <c r="A30" s="33" t="s">
        <v>435</v>
      </c>
      <c r="B30" s="34"/>
      <c r="C30" s="34"/>
      <c r="D30" s="33">
        <f>SUM(D5:D29)</f>
        <v>342341</v>
      </c>
      <c r="E30" s="34"/>
      <c r="F30" s="33">
        <f>SUM(F5:F29)</f>
        <v>78802.83333</v>
      </c>
      <c r="G30" s="34"/>
      <c r="H30" s="33">
        <f>SUM(H5:H29)</f>
        <v>75102.83333</v>
      </c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0" customHeight="1">
      <c r="A33" s="12" t="s">
        <v>436</v>
      </c>
      <c r="B33" s="3"/>
      <c r="C33" s="3"/>
      <c r="D33" s="3"/>
      <c r="E33" s="3"/>
      <c r="F33" s="3"/>
      <c r="G33" s="3"/>
      <c r="H33" s="3"/>
    </row>
    <row r="34" ht="15.0" customHeight="1">
      <c r="A34" s="9" t="s">
        <v>437</v>
      </c>
    </row>
    <row r="35" ht="15.0" customHeight="1">
      <c r="A35" s="9" t="s">
        <v>438</v>
      </c>
    </row>
    <row r="36" ht="15.0" customHeight="1">
      <c r="A36" s="9" t="s">
        <v>439</v>
      </c>
    </row>
    <row r="37" ht="15.0" customHeight="1">
      <c r="A37" s="9" t="s">
        <v>440</v>
      </c>
    </row>
    <row r="38" ht="15.0" customHeight="1">
      <c r="A38" s="9" t="s">
        <v>441</v>
      </c>
    </row>
    <row r="39" ht="15.0" customHeight="1">
      <c r="A39" s="9" t="s">
        <v>442</v>
      </c>
    </row>
    <row r="40" ht="15.0" customHeight="1">
      <c r="A40" s="9" t="s">
        <v>443</v>
      </c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9">
    <mergeCell ref="A39:H39"/>
    <mergeCell ref="A40:H40"/>
    <mergeCell ref="A1:H1"/>
    <mergeCell ref="A2:H2"/>
    <mergeCell ref="A34:H34"/>
    <mergeCell ref="A35:H35"/>
    <mergeCell ref="A36:H36"/>
    <mergeCell ref="A37:H37"/>
    <mergeCell ref="A38:H3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8.0"/>
    <col customWidth="1" min="4" max="4" width="35.0"/>
    <col customWidth="1" min="5" max="5" width="25.0"/>
    <col customWidth="1" min="6" max="6" width="16.0"/>
    <col customWidth="1" min="7" max="7" width="18.0"/>
    <col customWidth="1" min="8" max="8" width="22.0"/>
    <col customWidth="1" min="9" max="26" width="8.71"/>
  </cols>
  <sheetData>
    <row r="1" ht="19.5" customHeight="1">
      <c r="A1" s="1" t="s">
        <v>444</v>
      </c>
    </row>
    <row r="2" ht="15.0" customHeight="1">
      <c r="A2" s="2" t="s">
        <v>445</v>
      </c>
    </row>
    <row r="3">
      <c r="A3" s="3"/>
      <c r="B3" s="3"/>
      <c r="C3" s="3"/>
      <c r="D3" s="3"/>
      <c r="E3" s="3"/>
      <c r="F3" s="3"/>
      <c r="G3" s="3"/>
      <c r="H3" s="3"/>
    </row>
    <row r="4" ht="26.25" customHeight="1">
      <c r="A4" s="17" t="s">
        <v>446</v>
      </c>
      <c r="B4" s="17" t="s">
        <v>447</v>
      </c>
      <c r="C4" s="17" t="s">
        <v>448</v>
      </c>
      <c r="D4" s="17" t="s">
        <v>449</v>
      </c>
      <c r="E4" s="17" t="s">
        <v>450</v>
      </c>
      <c r="F4" s="17" t="s">
        <v>451</v>
      </c>
      <c r="G4" s="17" t="s">
        <v>452</v>
      </c>
      <c r="H4" s="17" t="s">
        <v>453</v>
      </c>
    </row>
    <row r="5" ht="23.25" customHeight="1">
      <c r="A5" s="38">
        <v>1.0</v>
      </c>
      <c r="B5" s="38" t="s">
        <v>454</v>
      </c>
      <c r="C5" s="38" t="s">
        <v>455</v>
      </c>
      <c r="D5" s="38" t="s">
        <v>456</v>
      </c>
      <c r="E5" s="38" t="s">
        <v>457</v>
      </c>
      <c r="F5" s="39">
        <v>0.0</v>
      </c>
      <c r="G5" s="39">
        <v>0.0</v>
      </c>
      <c r="H5" s="39">
        <v>14000.0</v>
      </c>
    </row>
    <row r="6" ht="15.0" customHeight="1">
      <c r="A6" s="38">
        <v>2.0</v>
      </c>
      <c r="B6" s="38" t="s">
        <v>458</v>
      </c>
      <c r="C6" s="38" t="s">
        <v>455</v>
      </c>
      <c r="D6" s="38" t="s">
        <v>459</v>
      </c>
      <c r="E6" s="38" t="s">
        <v>460</v>
      </c>
      <c r="F6" s="39">
        <v>0.0</v>
      </c>
      <c r="G6" s="39">
        <v>0.0</v>
      </c>
      <c r="H6" s="39">
        <v>6000.0</v>
      </c>
    </row>
    <row r="7" ht="15.0" customHeight="1">
      <c r="A7" s="38">
        <v>3.0</v>
      </c>
      <c r="B7" s="38" t="s">
        <v>461</v>
      </c>
      <c r="C7" s="38" t="s">
        <v>455</v>
      </c>
      <c r="D7" s="38" t="s">
        <v>462</v>
      </c>
      <c r="E7" s="38" t="s">
        <v>463</v>
      </c>
      <c r="F7" s="39">
        <v>4500.0</v>
      </c>
      <c r="G7" s="39">
        <v>0.0</v>
      </c>
      <c r="H7" s="39">
        <v>0.0</v>
      </c>
    </row>
    <row r="8" ht="15.0" customHeight="1">
      <c r="A8" s="38">
        <v>4.0</v>
      </c>
      <c r="B8" s="38" t="s">
        <v>463</v>
      </c>
      <c r="C8" s="38" t="s">
        <v>463</v>
      </c>
      <c r="D8" s="38" t="s">
        <v>463</v>
      </c>
      <c r="E8" s="38" t="s">
        <v>463</v>
      </c>
      <c r="F8" s="39">
        <v>0.0</v>
      </c>
      <c r="G8" s="39">
        <v>0.0</v>
      </c>
      <c r="H8" s="39">
        <v>0.0</v>
      </c>
    </row>
    <row r="9" ht="15.0" customHeight="1">
      <c r="A9" s="38">
        <v>5.0</v>
      </c>
      <c r="B9" s="38" t="s">
        <v>463</v>
      </c>
      <c r="C9" s="38" t="s">
        <v>463</v>
      </c>
      <c r="D9" s="38" t="s">
        <v>463</v>
      </c>
      <c r="E9" s="38" t="s">
        <v>463</v>
      </c>
      <c r="F9" s="39">
        <v>0.0</v>
      </c>
      <c r="G9" s="39">
        <v>0.0</v>
      </c>
      <c r="H9" s="39">
        <v>0.0</v>
      </c>
    </row>
    <row r="10" ht="15.0" customHeight="1">
      <c r="A10" s="38">
        <v>6.0</v>
      </c>
      <c r="B10" s="38" t="s">
        <v>463</v>
      </c>
      <c r="C10" s="38" t="s">
        <v>463</v>
      </c>
      <c r="D10" s="38" t="s">
        <v>463</v>
      </c>
      <c r="E10" s="38" t="s">
        <v>463</v>
      </c>
      <c r="F10" s="39">
        <v>0.0</v>
      </c>
      <c r="G10" s="39">
        <v>0.0</v>
      </c>
      <c r="H10" s="39">
        <v>0.0</v>
      </c>
    </row>
    <row r="11" ht="15.0" customHeight="1">
      <c r="A11" s="38">
        <v>7.0</v>
      </c>
      <c r="B11" s="38" t="s">
        <v>463</v>
      </c>
      <c r="C11" s="38" t="s">
        <v>463</v>
      </c>
      <c r="D11" s="38" t="s">
        <v>463</v>
      </c>
      <c r="E11" s="38" t="s">
        <v>463</v>
      </c>
      <c r="F11" s="39">
        <v>0.0</v>
      </c>
      <c r="G11" s="39">
        <v>0.0</v>
      </c>
      <c r="H11" s="39">
        <v>0.0</v>
      </c>
    </row>
    <row r="12" ht="15.0" customHeight="1">
      <c r="A12" s="38">
        <v>8.0</v>
      </c>
      <c r="B12" s="38" t="s">
        <v>463</v>
      </c>
      <c r="C12" s="38" t="s">
        <v>463</v>
      </c>
      <c r="D12" s="38" t="s">
        <v>463</v>
      </c>
      <c r="E12" s="38" t="s">
        <v>463</v>
      </c>
      <c r="F12" s="39">
        <v>0.0</v>
      </c>
      <c r="G12" s="39">
        <v>0.0</v>
      </c>
      <c r="H12" s="39">
        <v>0.0</v>
      </c>
    </row>
    <row r="13" ht="15.0" customHeight="1">
      <c r="A13" s="38">
        <v>9.0</v>
      </c>
      <c r="B13" s="38" t="s">
        <v>463</v>
      </c>
      <c r="C13" s="38" t="s">
        <v>463</v>
      </c>
      <c r="D13" s="38" t="s">
        <v>463</v>
      </c>
      <c r="E13" s="38" t="s">
        <v>463</v>
      </c>
      <c r="F13" s="39">
        <v>0.0</v>
      </c>
      <c r="G13" s="39">
        <v>0.0</v>
      </c>
      <c r="H13" s="39">
        <v>0.0</v>
      </c>
    </row>
    <row r="14" ht="15.0" customHeight="1">
      <c r="A14" s="38">
        <v>10.0</v>
      </c>
      <c r="B14" s="38" t="s">
        <v>463</v>
      </c>
      <c r="C14" s="38" t="s">
        <v>463</v>
      </c>
      <c r="D14" s="38" t="s">
        <v>463</v>
      </c>
      <c r="E14" s="38" t="s">
        <v>463</v>
      </c>
      <c r="F14" s="39">
        <v>0.0</v>
      </c>
      <c r="G14" s="39">
        <v>0.0</v>
      </c>
      <c r="H14" s="39">
        <v>0.0</v>
      </c>
    </row>
    <row r="15">
      <c r="A15" s="3"/>
      <c r="B15" s="3"/>
      <c r="C15" s="3"/>
      <c r="D15" s="3"/>
      <c r="E15" s="3"/>
      <c r="F15" s="3"/>
      <c r="G15" s="3"/>
      <c r="H15" s="3"/>
    </row>
    <row r="16" ht="15.0" customHeight="1">
      <c r="A16" s="3"/>
      <c r="B16" s="3"/>
      <c r="C16" s="3"/>
      <c r="D16" s="12" t="s">
        <v>464</v>
      </c>
      <c r="E16" s="3"/>
      <c r="F16" s="21">
        <f t="shared" ref="F16:H16" si="1">SUM(F5:F15)</f>
        <v>4500</v>
      </c>
      <c r="G16" s="21">
        <f t="shared" si="1"/>
        <v>0</v>
      </c>
      <c r="H16" s="21">
        <f t="shared" si="1"/>
        <v>20000</v>
      </c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3" width="16.0"/>
    <col customWidth="1" min="4" max="4" width="35.0"/>
    <col customWidth="1" min="5" max="5" width="30.0"/>
    <col customWidth="1" min="6" max="6" width="18.0"/>
    <col customWidth="1" min="7" max="26" width="8.71"/>
  </cols>
  <sheetData>
    <row r="1" ht="19.5" customHeight="1">
      <c r="A1" s="1" t="s">
        <v>465</v>
      </c>
    </row>
    <row r="2" ht="15.0" customHeight="1">
      <c r="A2" s="2" t="s">
        <v>466</v>
      </c>
    </row>
    <row r="3">
      <c r="A3" s="3"/>
      <c r="B3" s="3"/>
      <c r="C3" s="3"/>
      <c r="D3" s="3"/>
      <c r="E3" s="3"/>
      <c r="F3" s="3"/>
    </row>
    <row r="4" ht="26.25" customHeight="1">
      <c r="A4" s="17" t="s">
        <v>53</v>
      </c>
      <c r="B4" s="17" t="s">
        <v>55</v>
      </c>
      <c r="C4" s="17" t="s">
        <v>56</v>
      </c>
      <c r="D4" s="17" t="s">
        <v>467</v>
      </c>
      <c r="E4" s="17" t="s">
        <v>468</v>
      </c>
      <c r="F4" s="17" t="s">
        <v>469</v>
      </c>
    </row>
    <row r="5" ht="23.25" customHeight="1">
      <c r="A5" s="18">
        <v>46072.0</v>
      </c>
      <c r="B5" s="19" t="s">
        <v>470</v>
      </c>
      <c r="C5" s="20">
        <v>31000.0</v>
      </c>
      <c r="D5" s="38" t="s">
        <v>471</v>
      </c>
      <c r="E5" s="19" t="s">
        <v>472</v>
      </c>
      <c r="F5" s="19" t="s">
        <v>473</v>
      </c>
    </row>
    <row r="6" ht="15.0" customHeight="1">
      <c r="A6" s="18">
        <v>45808.0</v>
      </c>
      <c r="B6" s="19" t="s">
        <v>133</v>
      </c>
      <c r="C6" s="20">
        <v>25000.0</v>
      </c>
      <c r="D6" s="38" t="s">
        <v>471</v>
      </c>
      <c r="E6" s="19" t="s">
        <v>472</v>
      </c>
      <c r="F6" s="19" t="s">
        <v>473</v>
      </c>
    </row>
    <row r="7" ht="23.25" customHeight="1">
      <c r="A7" s="18">
        <v>45927.0</v>
      </c>
      <c r="B7" s="19" t="s">
        <v>186</v>
      </c>
      <c r="C7" s="20">
        <v>25000.0</v>
      </c>
      <c r="D7" s="38" t="s">
        <v>471</v>
      </c>
      <c r="E7" s="19" t="s">
        <v>472</v>
      </c>
      <c r="F7" s="19" t="s">
        <v>473</v>
      </c>
    </row>
    <row r="8" ht="23.25" customHeight="1">
      <c r="A8" s="18">
        <v>45927.0</v>
      </c>
      <c r="B8" s="19" t="s">
        <v>187</v>
      </c>
      <c r="C8" s="20">
        <v>25000.0</v>
      </c>
      <c r="D8" s="38" t="s">
        <v>471</v>
      </c>
      <c r="E8" s="19" t="s">
        <v>472</v>
      </c>
      <c r="F8" s="19" t="s">
        <v>473</v>
      </c>
    </row>
    <row r="9" ht="23.25" customHeight="1">
      <c r="A9" s="18">
        <v>45927.0</v>
      </c>
      <c r="B9" s="19" t="s">
        <v>188</v>
      </c>
      <c r="C9" s="20">
        <v>25000.0</v>
      </c>
      <c r="D9" s="38" t="s">
        <v>471</v>
      </c>
      <c r="E9" s="19" t="s">
        <v>472</v>
      </c>
      <c r="F9" s="19" t="s">
        <v>473</v>
      </c>
    </row>
    <row r="10" ht="23.25" customHeight="1">
      <c r="A10" s="18">
        <v>46046.0</v>
      </c>
      <c r="B10" s="19" t="s">
        <v>474</v>
      </c>
      <c r="C10" s="20">
        <v>22765.0</v>
      </c>
      <c r="D10" s="38" t="s">
        <v>471</v>
      </c>
      <c r="E10" s="19" t="s">
        <v>472</v>
      </c>
      <c r="F10" s="19" t="s">
        <v>473</v>
      </c>
    </row>
    <row r="11" ht="23.25" customHeight="1">
      <c r="A11" s="18">
        <v>46002.0</v>
      </c>
      <c r="B11" s="19" t="s">
        <v>475</v>
      </c>
      <c r="C11" s="20">
        <v>19999.0</v>
      </c>
      <c r="D11" s="38" t="s">
        <v>471</v>
      </c>
      <c r="E11" s="19" t="s">
        <v>472</v>
      </c>
      <c r="F11" s="19" t="s">
        <v>473</v>
      </c>
    </row>
    <row r="12" ht="15.0" customHeight="1">
      <c r="A12" s="18">
        <v>46045.0</v>
      </c>
      <c r="B12" s="19" t="s">
        <v>228</v>
      </c>
      <c r="C12" s="20">
        <v>18000.0</v>
      </c>
      <c r="D12" s="38" t="s">
        <v>471</v>
      </c>
      <c r="E12" s="19" t="s">
        <v>472</v>
      </c>
      <c r="F12" s="19" t="s">
        <v>473</v>
      </c>
    </row>
    <row r="13" ht="15.0" customHeight="1">
      <c r="A13" s="18">
        <v>45983.0</v>
      </c>
      <c r="B13" s="19" t="s">
        <v>260</v>
      </c>
      <c r="C13" s="20">
        <v>12000.0</v>
      </c>
      <c r="D13" s="38" t="s">
        <v>471</v>
      </c>
      <c r="E13" s="19" t="s">
        <v>472</v>
      </c>
      <c r="F13" s="19" t="s">
        <v>473</v>
      </c>
    </row>
    <row r="14" ht="23.25" customHeight="1">
      <c r="A14" s="18">
        <v>45927.0</v>
      </c>
      <c r="B14" s="19" t="s">
        <v>185</v>
      </c>
      <c r="C14" s="20">
        <v>10000.0</v>
      </c>
      <c r="D14" s="38" t="s">
        <v>471</v>
      </c>
      <c r="E14" s="19" t="s">
        <v>472</v>
      </c>
      <c r="F14" s="19" t="s">
        <v>473</v>
      </c>
    </row>
    <row r="15" ht="15.0" customHeight="1">
      <c r="A15" s="18">
        <v>46013.0</v>
      </c>
      <c r="B15" s="19" t="s">
        <v>281</v>
      </c>
      <c r="C15" s="20">
        <v>10000.0</v>
      </c>
      <c r="D15" s="38" t="s">
        <v>471</v>
      </c>
      <c r="E15" s="19" t="s">
        <v>472</v>
      </c>
      <c r="F15" s="19" t="s">
        <v>473</v>
      </c>
    </row>
    <row r="16" ht="15.0" customHeight="1">
      <c r="A16" s="18">
        <v>45772.0</v>
      </c>
      <c r="B16" s="19" t="s">
        <v>122</v>
      </c>
      <c r="C16" s="20">
        <v>7700.0</v>
      </c>
      <c r="D16" s="38" t="s">
        <v>471</v>
      </c>
      <c r="E16" s="19" t="s">
        <v>472</v>
      </c>
      <c r="F16" s="19" t="s">
        <v>473</v>
      </c>
    </row>
    <row r="17" ht="23.25" customHeight="1">
      <c r="A17" s="18">
        <v>46058.0</v>
      </c>
      <c r="B17" s="19" t="s">
        <v>320</v>
      </c>
      <c r="C17" s="20">
        <v>7095.0</v>
      </c>
      <c r="D17" s="38" t="s">
        <v>471</v>
      </c>
      <c r="E17" s="19" t="s">
        <v>472</v>
      </c>
      <c r="F17" s="19" t="s">
        <v>473</v>
      </c>
    </row>
    <row r="18" ht="15.0" customHeight="1">
      <c r="A18" s="18">
        <v>45948.0</v>
      </c>
      <c r="B18" s="19" t="s">
        <v>228</v>
      </c>
      <c r="C18" s="20">
        <v>7000.0</v>
      </c>
      <c r="D18" s="38" t="s">
        <v>471</v>
      </c>
      <c r="E18" s="19" t="s">
        <v>472</v>
      </c>
      <c r="F18" s="19" t="s">
        <v>473</v>
      </c>
    </row>
    <row r="19" ht="15.0" customHeight="1">
      <c r="A19" s="18">
        <v>45965.0</v>
      </c>
      <c r="B19" s="19" t="s">
        <v>228</v>
      </c>
      <c r="C19" s="20">
        <v>7000.0</v>
      </c>
      <c r="D19" s="38" t="s">
        <v>471</v>
      </c>
      <c r="E19" s="19" t="s">
        <v>472</v>
      </c>
      <c r="F19" s="19" t="s">
        <v>473</v>
      </c>
    </row>
    <row r="20" ht="15.0" customHeight="1">
      <c r="A20" s="18">
        <v>46012.0</v>
      </c>
      <c r="B20" s="19" t="s">
        <v>228</v>
      </c>
      <c r="C20" s="20">
        <v>7000.0</v>
      </c>
      <c r="D20" s="38" t="s">
        <v>471</v>
      </c>
      <c r="E20" s="19" t="s">
        <v>472</v>
      </c>
      <c r="F20" s="19" t="s">
        <v>473</v>
      </c>
    </row>
    <row r="21" ht="15.0" customHeight="1">
      <c r="A21" s="18">
        <v>46012.0</v>
      </c>
      <c r="B21" s="19" t="s">
        <v>228</v>
      </c>
      <c r="C21" s="20">
        <v>7000.0</v>
      </c>
      <c r="D21" s="38" t="s">
        <v>471</v>
      </c>
      <c r="E21" s="19" t="s">
        <v>472</v>
      </c>
      <c r="F21" s="19" t="s">
        <v>473</v>
      </c>
    </row>
    <row r="22" ht="15.0" customHeight="1">
      <c r="A22" s="18">
        <v>46045.0</v>
      </c>
      <c r="B22" s="19" t="s">
        <v>228</v>
      </c>
      <c r="C22" s="20">
        <v>7000.0</v>
      </c>
      <c r="D22" s="38" t="s">
        <v>471</v>
      </c>
      <c r="E22" s="19" t="s">
        <v>472</v>
      </c>
      <c r="F22" s="19" t="s">
        <v>473</v>
      </c>
    </row>
    <row r="23" ht="23.25" customHeight="1">
      <c r="A23" s="18">
        <v>46048.0</v>
      </c>
      <c r="B23" s="19" t="s">
        <v>476</v>
      </c>
      <c r="C23" s="20">
        <v>7000.0</v>
      </c>
      <c r="D23" s="38" t="s">
        <v>471</v>
      </c>
      <c r="E23" s="19" t="s">
        <v>472</v>
      </c>
      <c r="F23" s="19" t="s">
        <v>473</v>
      </c>
    </row>
    <row r="24" ht="15.0" customHeight="1">
      <c r="A24" s="18">
        <v>46065.0</v>
      </c>
      <c r="B24" s="19" t="s">
        <v>228</v>
      </c>
      <c r="C24" s="20">
        <v>7000.0</v>
      </c>
      <c r="D24" s="38" t="s">
        <v>471</v>
      </c>
      <c r="E24" s="19" t="s">
        <v>472</v>
      </c>
      <c r="F24" s="19" t="s">
        <v>473</v>
      </c>
    </row>
    <row r="25" ht="15.0" customHeight="1">
      <c r="A25" s="18">
        <v>45786.0</v>
      </c>
      <c r="B25" s="19" t="s">
        <v>130</v>
      </c>
      <c r="C25" s="20">
        <v>6500.0</v>
      </c>
      <c r="D25" s="38" t="s">
        <v>471</v>
      </c>
      <c r="E25" s="19" t="s">
        <v>472</v>
      </c>
      <c r="F25" s="19" t="s">
        <v>473</v>
      </c>
    </row>
    <row r="26" ht="23.25" customHeight="1">
      <c r="A26" s="18">
        <v>45975.0</v>
      </c>
      <c r="B26" s="19" t="s">
        <v>477</v>
      </c>
      <c r="C26" s="20">
        <v>6190.0</v>
      </c>
      <c r="D26" s="38" t="s">
        <v>471</v>
      </c>
      <c r="E26" s="19" t="s">
        <v>472</v>
      </c>
      <c r="F26" s="19" t="s">
        <v>473</v>
      </c>
    </row>
    <row r="27" ht="15.0" customHeight="1">
      <c r="A27" s="18">
        <v>45821.0</v>
      </c>
      <c r="B27" s="19" t="s">
        <v>138</v>
      </c>
      <c r="C27" s="20">
        <v>6000.0</v>
      </c>
      <c r="D27" s="38" t="s">
        <v>471</v>
      </c>
      <c r="E27" s="19" t="s">
        <v>472</v>
      </c>
      <c r="F27" s="19" t="s">
        <v>473</v>
      </c>
    </row>
    <row r="28" ht="15.0" customHeight="1">
      <c r="A28" s="18">
        <v>45964.0</v>
      </c>
      <c r="B28" s="19" t="s">
        <v>228</v>
      </c>
      <c r="C28" s="20">
        <v>6000.0</v>
      </c>
      <c r="D28" s="38" t="s">
        <v>471</v>
      </c>
      <c r="E28" s="19" t="s">
        <v>472</v>
      </c>
      <c r="F28" s="19" t="s">
        <v>473</v>
      </c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3" width="38.0"/>
    <col customWidth="1" min="4" max="4" width="25.0"/>
    <col customWidth="1" min="5" max="26" width="8.71"/>
  </cols>
  <sheetData>
    <row r="1" ht="19.5" customHeight="1">
      <c r="A1" s="1" t="s">
        <v>478</v>
      </c>
    </row>
    <row r="2" ht="15.0" customHeight="1">
      <c r="A2" s="2" t="s">
        <v>479</v>
      </c>
    </row>
    <row r="3">
      <c r="A3" s="3"/>
      <c r="B3" s="3"/>
      <c r="C3" s="3"/>
      <c r="D3" s="3"/>
    </row>
    <row r="4" ht="15.0" customHeight="1">
      <c r="A4" s="17" t="s">
        <v>55</v>
      </c>
      <c r="B4" s="17" t="s">
        <v>56</v>
      </c>
      <c r="C4" s="17" t="s">
        <v>58</v>
      </c>
      <c r="D4" s="17" t="s">
        <v>480</v>
      </c>
    </row>
    <row r="5" ht="15.0" customHeight="1">
      <c r="A5" s="52" t="s">
        <v>481</v>
      </c>
      <c r="B5" s="53"/>
      <c r="C5" s="52"/>
      <c r="D5" s="52"/>
    </row>
    <row r="6" ht="15.0" customHeight="1">
      <c r="A6" s="19" t="s">
        <v>482</v>
      </c>
      <c r="B6" s="54">
        <f>'2. Income Register'!B2</f>
        <v>515904.84</v>
      </c>
      <c r="C6" s="19" t="s">
        <v>31</v>
      </c>
      <c r="D6" s="19"/>
    </row>
    <row r="7" ht="15.0" customHeight="1">
      <c r="A7" s="19" t="s">
        <v>483</v>
      </c>
      <c r="B7" s="54">
        <f>-SUMIF('3. Expense Register'!C5:C354,"Refund",'3. Expense Register'!E5:E354)</f>
        <v>-4050</v>
      </c>
      <c r="C7" s="19" t="s">
        <v>484</v>
      </c>
      <c r="D7" s="19"/>
    </row>
    <row r="8" ht="15.0" customHeight="1">
      <c r="A8" s="55" t="s">
        <v>485</v>
      </c>
      <c r="B8" s="56">
        <f>B6+B7</f>
        <v>511854.84</v>
      </c>
      <c r="C8" s="55"/>
      <c r="D8" s="55"/>
    </row>
    <row r="9" ht="15.0" customHeight="1">
      <c r="A9" s="19"/>
      <c r="B9" s="57"/>
      <c r="C9" s="19"/>
      <c r="D9" s="19"/>
    </row>
    <row r="10" ht="15.0" customHeight="1">
      <c r="A10" s="52" t="s">
        <v>486</v>
      </c>
      <c r="B10" s="53"/>
      <c r="C10" s="52"/>
      <c r="D10" s="52"/>
    </row>
    <row r="11" ht="15.0" customHeight="1">
      <c r="A11" s="19" t="s">
        <v>150</v>
      </c>
      <c r="B11" s="54">
        <f>SUMIF('4. Category Summary'!A5:A49,"Vehicle - Fuel",'4. Category Summary'!E5:E49)</f>
        <v>2816.2</v>
      </c>
      <c r="C11" s="19" t="s">
        <v>487</v>
      </c>
      <c r="D11" s="19"/>
    </row>
    <row r="12" ht="15.0" customHeight="1">
      <c r="A12" s="19" t="s">
        <v>111</v>
      </c>
      <c r="B12" s="54">
        <f>SUMIF('4. Category Summary'!A5:A49,"Vehicle - Maintenance",'4. Category Summary'!E5:E49)</f>
        <v>144859.2</v>
      </c>
      <c r="C12" s="19" t="s">
        <v>487</v>
      </c>
      <c r="D12" s="19"/>
    </row>
    <row r="13" ht="15.0" customHeight="1">
      <c r="A13" s="19" t="s">
        <v>212</v>
      </c>
      <c r="B13" s="54">
        <f>SUMIF('4. Category Summary'!A5:A49,"Vehicle - Licensing",'4. Category Summary'!E5:E49)</f>
        <v>6380</v>
      </c>
      <c r="C13" s="19" t="s">
        <v>487</v>
      </c>
      <c r="D13" s="19"/>
    </row>
    <row r="14" ht="15.0" customHeight="1">
      <c r="A14" s="19" t="s">
        <v>488</v>
      </c>
      <c r="B14" s="54">
        <f>SUMIF('4. Category Summary'!A5:A49,"Travel - Local",'4. Category Summary'!E5:E49)</f>
        <v>17534.5</v>
      </c>
      <c r="C14" s="19"/>
      <c r="D14" s="19"/>
    </row>
    <row r="15" ht="15.0" customHeight="1">
      <c r="A15" s="19" t="s">
        <v>489</v>
      </c>
      <c r="B15" s="54">
        <f>SUMIF('4. Category Summary'!A5:A49,"Travel - Air",'4. Category Summary'!E5:E49)+SUMIF('4. Category Summary'!A5:A49,"Travel - Accommodation",'4. Category Summary'!E5:E49)</f>
        <v>0</v>
      </c>
      <c r="C15" s="19"/>
      <c r="D15" s="19"/>
    </row>
    <row r="16" ht="15.0" customHeight="1">
      <c r="A16" s="19" t="s">
        <v>490</v>
      </c>
      <c r="B16" s="54">
        <f>SUMIF('4. Category Summary'!A5:A49,"Meals - Business",'4. Category Summary'!E5:E49)+SUMIF('4. Category Summary'!A5:A49,"Entertainment - Business",'4. Category Summary'!E5:E49)</f>
        <v>32823.43</v>
      </c>
      <c r="C16" s="19" t="s">
        <v>491</v>
      </c>
      <c r="D16" s="19"/>
    </row>
    <row r="17" ht="15.0" customHeight="1">
      <c r="A17" s="19" t="s">
        <v>492</v>
      </c>
      <c r="B17" s="54">
        <f>SUMIF('4. Category Summary'!A5:A49,"Software/SaaS",'4. Category Summary'!E5:E49)</f>
        <v>21648.5</v>
      </c>
      <c r="C17" s="19"/>
      <c r="D17" s="19"/>
    </row>
    <row r="18" ht="15.0" customHeight="1">
      <c r="A18" s="19" t="s">
        <v>145</v>
      </c>
      <c r="B18" s="54">
        <f>SUMIF('4. Category Summary'!A5:A49,"Equipment - Office",'4. Category Summary'!E5:E49)+SUMIF('4. Category Summary'!A5:A49,"Office - Refreshments",'4. Category Summary'!E5:E49)+SUMIF('4. Category Summary'!A5:A49,"Office - General",'4. Category Summary'!E5:E49)</f>
        <v>5540.41</v>
      </c>
      <c r="C18" s="19"/>
      <c r="D18" s="19"/>
    </row>
    <row r="19" ht="15.0" customHeight="1">
      <c r="A19" s="19" t="s">
        <v>493</v>
      </c>
      <c r="B19" s="54">
        <f>SUMIF('4. Category Summary'!A5:A49,"Compliance",'4. Category Summary'!E5:E49)+SUMIF('4. Category Summary'!A5:A49,"Professional Fees",'4. Category Summary'!E5:E49)</f>
        <v>12133</v>
      </c>
      <c r="C19" s="19" t="s">
        <v>494</v>
      </c>
      <c r="D19" s="19"/>
    </row>
    <row r="20" ht="15.0" customHeight="1">
      <c r="A20" s="19" t="s">
        <v>90</v>
      </c>
      <c r="B20" s="54">
        <f>SUMIF('4. Category Summary'!A5:A49,"Bank Charges",'4. Category Summary'!E5:E49)</f>
        <v>3615.43</v>
      </c>
      <c r="C20" s="19"/>
      <c r="D20" s="19"/>
    </row>
    <row r="21" ht="15.0" customHeight="1">
      <c r="A21" s="19" t="s">
        <v>134</v>
      </c>
      <c r="B21" s="54">
        <f>SUMIF('4. Category Summary'!A5:A49,"Director Remuneration",'4. Category Summary'!E5:E49)</f>
        <v>25040</v>
      </c>
      <c r="C21" s="19" t="s">
        <v>495</v>
      </c>
      <c r="D21" s="19"/>
    </row>
    <row r="22" ht="15.0" customHeight="1">
      <c r="A22" s="19" t="s">
        <v>496</v>
      </c>
      <c r="B22" s="54">
        <f>SUMIF('4. Category Summary'!A5:A49,"Staff Costs - Stipend",'4. Category Summary'!E5:E49)+SUMIF('4. Category Summary'!A5:A49,"Staff Costs - Benefits",'4. Category Summary'!E5:E49)+SUMIF('4. Category Summary'!A5:A49,"Staff Costs - Training",'4. Category Summary'!E5:E49)+SUMIF('4. Category Summary'!A5:A49,"Staff Costs - Reimbursement",'4. Category Summary'!E5:E49)</f>
        <v>96471.5</v>
      </c>
      <c r="C22" s="19" t="s">
        <v>497</v>
      </c>
      <c r="D22" s="19"/>
    </row>
    <row r="23" ht="15.0" customHeight="1">
      <c r="A23" s="55" t="s">
        <v>498</v>
      </c>
      <c r="B23" s="56">
        <f>'4. Category Summary'!E50</f>
        <v>376689.73</v>
      </c>
      <c r="C23" s="55" t="s">
        <v>499</v>
      </c>
      <c r="D23" s="55"/>
    </row>
    <row r="24" ht="15.0" customHeight="1">
      <c r="A24" s="19"/>
      <c r="B24" s="57"/>
      <c r="C24" s="19"/>
      <c r="D24" s="19"/>
    </row>
    <row r="25" ht="15.0" customHeight="1">
      <c r="A25" s="52" t="s">
        <v>500</v>
      </c>
      <c r="B25" s="53">
        <f>'6. Asset Register'!H30</f>
        <v>75102.83333</v>
      </c>
      <c r="C25" s="52" t="s">
        <v>35</v>
      </c>
      <c r="D25" s="52"/>
    </row>
    <row r="26" ht="15.0" customHeight="1">
      <c r="A26" s="19"/>
      <c r="B26" s="57"/>
      <c r="C26" s="19"/>
      <c r="D26" s="19"/>
    </row>
    <row r="27" ht="15.0" customHeight="1">
      <c r="A27" s="55" t="s">
        <v>501</v>
      </c>
      <c r="B27" s="56">
        <f>B8-B23-B25</f>
        <v>60062.27667</v>
      </c>
      <c r="C27" s="55" t="s">
        <v>502</v>
      </c>
      <c r="D27" s="55"/>
    </row>
    <row r="28" ht="15.0" customHeight="1">
      <c r="A28" s="19"/>
      <c r="B28" s="57"/>
      <c r="C28" s="19"/>
      <c r="D28" s="19"/>
    </row>
    <row r="29" ht="15.0" customHeight="1">
      <c r="A29" s="55" t="s">
        <v>503</v>
      </c>
      <c r="B29" s="56">
        <f>IF(B27&gt;0,B27*0.27,0)</f>
        <v>16216.8147</v>
      </c>
      <c r="C29" s="55" t="s">
        <v>504</v>
      </c>
      <c r="D29" s="55"/>
    </row>
    <row r="30" ht="15.0" customHeight="1">
      <c r="A30" s="19"/>
      <c r="B30" s="57"/>
      <c r="C30" s="19"/>
      <c r="D30" s="19"/>
    </row>
    <row r="31" ht="15.0" customHeight="1">
      <c r="A31" s="19" t="s">
        <v>505</v>
      </c>
      <c r="B31" s="39">
        <v>0.0</v>
      </c>
      <c r="C31" s="19" t="s">
        <v>506</v>
      </c>
      <c r="D31" s="19"/>
    </row>
    <row r="32" ht="15.0" customHeight="1">
      <c r="A32" s="19"/>
      <c r="B32" s="57"/>
      <c r="C32" s="19"/>
      <c r="D32" s="19"/>
    </row>
    <row r="33" ht="15.0" customHeight="1">
      <c r="A33" s="55" t="s">
        <v>507</v>
      </c>
      <c r="B33" s="56">
        <f>B29-B31</f>
        <v>16216.8147</v>
      </c>
      <c r="C33" s="55"/>
      <c r="D33" s="55"/>
    </row>
    <row r="34" ht="15.75" customHeight="1">
      <c r="A34" s="3"/>
      <c r="B34" s="3"/>
      <c r="C34" s="3"/>
      <c r="D34" s="3"/>
    </row>
    <row r="35" ht="15.0" customHeight="1">
      <c r="A35" s="58"/>
      <c r="B35" s="59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60" t="s">
        <v>508</v>
      </c>
    </row>
    <row r="38" ht="45.0" customHeight="1">
      <c r="A38" s="61" t="s">
        <v>509</v>
      </c>
    </row>
    <row r="39" ht="15.75" customHeight="1">
      <c r="A39" s="3"/>
      <c r="B39" s="3"/>
      <c r="C39" s="3"/>
      <c r="D39" s="3"/>
    </row>
    <row r="40" ht="15.75" customHeight="1">
      <c r="A40" s="62" t="s">
        <v>510</v>
      </c>
      <c r="B40" s="62" t="s">
        <v>511</v>
      </c>
      <c r="C40" s="62"/>
      <c r="D40" s="62"/>
    </row>
    <row r="41" ht="15.75" customHeight="1">
      <c r="A41" s="63" t="s">
        <v>512</v>
      </c>
      <c r="B41" s="20" t="s">
        <v>513</v>
      </c>
      <c r="C41" s="63"/>
      <c r="D41" s="63"/>
    </row>
    <row r="42" ht="15.75" customHeight="1">
      <c r="A42" s="63" t="s">
        <v>514</v>
      </c>
      <c r="B42" s="20" t="s">
        <v>515</v>
      </c>
      <c r="C42" s="63"/>
      <c r="D42" s="63"/>
    </row>
    <row r="43" ht="15.75" customHeight="1">
      <c r="A43" s="63" t="s">
        <v>516</v>
      </c>
      <c r="B43" s="20" t="s">
        <v>517</v>
      </c>
      <c r="C43" s="63"/>
      <c r="D43" s="63"/>
    </row>
    <row r="44" ht="15.75" customHeight="1">
      <c r="A44" s="63" t="s">
        <v>518</v>
      </c>
      <c r="B44" s="20" t="s">
        <v>519</v>
      </c>
      <c r="C44" s="63"/>
      <c r="D44" s="63"/>
    </row>
    <row r="45" ht="15.75" customHeight="1">
      <c r="A45" s="63"/>
      <c r="B45" s="20"/>
      <c r="C45" s="63"/>
      <c r="D45" s="63"/>
    </row>
    <row r="46" ht="15.75" customHeight="1">
      <c r="A46" s="63" t="s">
        <v>520</v>
      </c>
      <c r="B46" s="64">
        <f>IF(B27&lt;=0,0,IF(B27&lt;=95750,0,IF(B27&lt;=365000,(B27-95750)*0.07,IF(B27&lt;=550000,18848+(B27-365000)*0.21,57698+(B27-550000)*0.27))))</f>
        <v>0</v>
      </c>
      <c r="C46" s="63"/>
      <c r="D46" s="63"/>
    </row>
    <row r="47" ht="15.75" customHeight="1">
      <c r="A47" s="63" t="s">
        <v>521</v>
      </c>
      <c r="B47" s="54">
        <f>B29</f>
        <v>16216.8147</v>
      </c>
      <c r="C47" s="63" t="s">
        <v>522</v>
      </c>
      <c r="D47" s="63"/>
    </row>
    <row r="48" ht="15.75" customHeight="1">
      <c r="A48" s="65" t="s">
        <v>523</v>
      </c>
      <c r="B48" s="66">
        <f>B47-B45</f>
        <v>16216.8147</v>
      </c>
      <c r="C48" s="65" t="s">
        <v>524</v>
      </c>
      <c r="D48" s="65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4">
    <mergeCell ref="A1:D1"/>
    <mergeCell ref="A2:D2"/>
    <mergeCell ref="A37:D37"/>
    <mergeCell ref="A38:D38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8.0"/>
    <col customWidth="1" min="3" max="3" width="16.0"/>
    <col customWidth="1" min="4" max="4" width="45.0"/>
    <col customWidth="1" min="5" max="26" width="8.71"/>
  </cols>
  <sheetData>
    <row r="1" ht="19.5" customHeight="1">
      <c r="A1" s="1" t="s">
        <v>525</v>
      </c>
    </row>
    <row r="2">
      <c r="A2" s="3"/>
      <c r="B2" s="3"/>
      <c r="C2" s="3"/>
      <c r="D2" s="3"/>
    </row>
    <row r="3" ht="15.0" customHeight="1">
      <c r="A3" s="17" t="s">
        <v>526</v>
      </c>
      <c r="B3" s="17" t="s">
        <v>527</v>
      </c>
      <c r="C3" s="17" t="s">
        <v>528</v>
      </c>
      <c r="D3" s="17" t="s">
        <v>58</v>
      </c>
    </row>
    <row r="4" ht="15.0" customHeight="1">
      <c r="A4" s="52" t="s">
        <v>529</v>
      </c>
      <c r="B4" s="52"/>
      <c r="C4" s="52"/>
      <c r="D4" s="52" t="s">
        <v>530</v>
      </c>
    </row>
    <row r="5" ht="15.0" customHeight="1">
      <c r="A5" s="19" t="s">
        <v>531</v>
      </c>
      <c r="B5" s="19" t="s">
        <v>532</v>
      </c>
      <c r="C5" s="67" t="s">
        <v>533</v>
      </c>
      <c r="D5" s="19" t="s">
        <v>534</v>
      </c>
    </row>
    <row r="6" ht="15.0" customHeight="1">
      <c r="A6" s="19" t="s">
        <v>535</v>
      </c>
      <c r="B6" s="19" t="s">
        <v>536</v>
      </c>
      <c r="C6" s="68" t="s">
        <v>537</v>
      </c>
      <c r="D6" s="19" t="s">
        <v>538</v>
      </c>
    </row>
    <row r="7" ht="15.0" customHeight="1">
      <c r="A7" s="19" t="s">
        <v>539</v>
      </c>
      <c r="B7" s="19" t="s">
        <v>540</v>
      </c>
      <c r="C7" s="19" t="s">
        <v>541</v>
      </c>
      <c r="D7" s="19" t="s">
        <v>542</v>
      </c>
    </row>
    <row r="8" ht="15.0" customHeight="1">
      <c r="A8" s="19"/>
      <c r="B8" s="19"/>
      <c r="C8" s="19"/>
      <c r="D8" s="19"/>
    </row>
    <row r="9" ht="15.0" customHeight="1">
      <c r="A9" s="52" t="s">
        <v>543</v>
      </c>
      <c r="B9" s="52"/>
      <c r="C9" s="52"/>
      <c r="D9" s="52"/>
    </row>
    <row r="10" ht="23.25" customHeight="1">
      <c r="A10" s="19" t="s">
        <v>544</v>
      </c>
      <c r="B10" s="19" t="s">
        <v>545</v>
      </c>
      <c r="C10" s="19" t="s">
        <v>541</v>
      </c>
      <c r="D10" s="19" t="s">
        <v>546</v>
      </c>
    </row>
    <row r="11" ht="15.0" customHeight="1">
      <c r="A11" s="19" t="s">
        <v>547</v>
      </c>
      <c r="B11" s="19" t="s">
        <v>548</v>
      </c>
      <c r="C11" s="19" t="s">
        <v>541</v>
      </c>
      <c r="D11" s="19" t="s">
        <v>530</v>
      </c>
    </row>
    <row r="12" ht="15.0" customHeight="1">
      <c r="A12" s="19" t="s">
        <v>549</v>
      </c>
      <c r="B12" s="19" t="s">
        <v>550</v>
      </c>
      <c r="C12" s="19" t="s">
        <v>551</v>
      </c>
      <c r="D12" s="19" t="s">
        <v>552</v>
      </c>
    </row>
    <row r="13" ht="15.0" customHeight="1">
      <c r="A13" s="19"/>
      <c r="B13" s="19"/>
      <c r="C13" s="19"/>
      <c r="D13" s="19"/>
    </row>
    <row r="14" ht="15.0" customHeight="1">
      <c r="A14" s="52" t="s">
        <v>553</v>
      </c>
      <c r="B14" s="52"/>
      <c r="C14" s="52"/>
      <c r="D14" s="52" t="s">
        <v>554</v>
      </c>
    </row>
    <row r="15" ht="23.25" customHeight="1">
      <c r="A15" s="19" t="s">
        <v>555</v>
      </c>
      <c r="B15" s="19" t="s">
        <v>556</v>
      </c>
      <c r="C15" s="19" t="s">
        <v>557</v>
      </c>
      <c r="D15" s="19" t="s">
        <v>558</v>
      </c>
    </row>
    <row r="16" ht="15.0" customHeight="1">
      <c r="A16" s="19" t="s">
        <v>559</v>
      </c>
      <c r="B16" s="19" t="s">
        <v>560</v>
      </c>
      <c r="C16" s="67" t="s">
        <v>533</v>
      </c>
      <c r="D16" s="19" t="s">
        <v>561</v>
      </c>
    </row>
    <row r="17" ht="15.0" customHeight="1">
      <c r="A17" s="19" t="s">
        <v>562</v>
      </c>
      <c r="B17" s="19" t="s">
        <v>563</v>
      </c>
      <c r="C17" s="68" t="s">
        <v>537</v>
      </c>
      <c r="D17" s="19" t="s">
        <v>564</v>
      </c>
    </row>
    <row r="18" ht="15.0" customHeight="1">
      <c r="A18" s="19"/>
      <c r="B18" s="19"/>
      <c r="C18" s="19"/>
      <c r="D18" s="19"/>
    </row>
    <row r="19" ht="23.25" customHeight="1">
      <c r="A19" s="52" t="s">
        <v>565</v>
      </c>
      <c r="B19" s="52"/>
      <c r="C19" s="52"/>
      <c r="D19" s="52" t="s">
        <v>566</v>
      </c>
    </row>
    <row r="20" ht="15.0" customHeight="1">
      <c r="A20" s="19" t="s">
        <v>567</v>
      </c>
      <c r="B20" s="19" t="s">
        <v>568</v>
      </c>
      <c r="C20" s="19" t="s">
        <v>569</v>
      </c>
      <c r="D20" s="19" t="s">
        <v>570</v>
      </c>
    </row>
    <row r="21" ht="15.0" customHeight="1">
      <c r="A21" s="19"/>
      <c r="B21" s="19"/>
      <c r="C21" s="19"/>
      <c r="D21" s="19"/>
    </row>
    <row r="22" ht="15.0" customHeight="1">
      <c r="A22" s="52" t="s">
        <v>571</v>
      </c>
      <c r="B22" s="52"/>
      <c r="C22" s="52"/>
      <c r="D22" s="52"/>
    </row>
    <row r="23" ht="15.0" customHeight="1">
      <c r="A23" s="19" t="s">
        <v>572</v>
      </c>
      <c r="B23" s="19" t="s">
        <v>573</v>
      </c>
      <c r="C23" s="69" t="s">
        <v>574</v>
      </c>
      <c r="D23" s="19" t="s">
        <v>575</v>
      </c>
    </row>
    <row r="24" ht="15.0" customHeight="1">
      <c r="A24" s="19" t="s">
        <v>576</v>
      </c>
      <c r="B24" s="19" t="s">
        <v>577</v>
      </c>
      <c r="C24" s="67" t="s">
        <v>578</v>
      </c>
      <c r="D24" s="19" t="s">
        <v>579</v>
      </c>
    </row>
    <row r="25" ht="15.0" customHeight="1">
      <c r="A25" s="19" t="s">
        <v>580</v>
      </c>
      <c r="B25" s="19" t="s">
        <v>581</v>
      </c>
      <c r="C25" s="67" t="s">
        <v>582</v>
      </c>
      <c r="D25" s="19" t="s">
        <v>583</v>
      </c>
    </row>
    <row r="26" ht="15.0" customHeight="1">
      <c r="A26" s="19" t="s">
        <v>584</v>
      </c>
      <c r="B26" s="19" t="s">
        <v>585</v>
      </c>
      <c r="C26" s="19" t="s">
        <v>551</v>
      </c>
      <c r="D26" s="19" t="s">
        <v>586</v>
      </c>
    </row>
    <row r="27" ht="15.0" customHeight="1">
      <c r="A27" s="19" t="s">
        <v>587</v>
      </c>
      <c r="B27" s="19" t="s">
        <v>588</v>
      </c>
      <c r="C27" s="19" t="s">
        <v>551</v>
      </c>
      <c r="D27" s="19" t="s">
        <v>589</v>
      </c>
    </row>
    <row r="28" ht="15.0" customHeight="1">
      <c r="A28" s="19" t="s">
        <v>590</v>
      </c>
      <c r="B28" s="19" t="s">
        <v>591</v>
      </c>
      <c r="C28" s="19" t="s">
        <v>551</v>
      </c>
      <c r="D28" s="19" t="s">
        <v>592</v>
      </c>
    </row>
    <row r="29" ht="15.0" customHeight="1">
      <c r="A29" s="19" t="s">
        <v>593</v>
      </c>
      <c r="B29" s="19" t="s">
        <v>594</v>
      </c>
      <c r="C29" s="67" t="s">
        <v>578</v>
      </c>
      <c r="D29" s="19" t="s">
        <v>595</v>
      </c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2026-05-09T08:51:02Z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